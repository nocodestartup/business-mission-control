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9e990cfb5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s" sheetId="1" r:id="Rd098b88d8de94a2b"/>
    <x:sheet xmlns:r="http://schemas.openxmlformats.org/officeDocument/2006/relationships" name="agenda" sheetId="2" r:id="R44d481dd5d844da3"/>
    <x:sheet xmlns:r="http://schemas.openxmlformats.org/officeDocument/2006/relationships" name="dicionario" sheetId="3" r:id="Rfda359ddfbf84fbc"/>
    <x:sheet xmlns:r="http://schemas.openxmlformats.org/officeDocument/2006/relationships" name="historico_mensal" sheetId="4" r:id="Rb3b31614ca66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8">
    <x:font>
      <x:sz val="11"/>
      <x:name val="Carlito"/>
    </x:font>
    <x:font>
      <x:b/>
      <x:sz val="11"/>
      <x:color rgb="FFFFF9EC"/>
      <x:name val="Figtree"/>
    </x:font>
    <x:font>
      <x:sz val="10"/>
      <x:color rgb="FF20211E"/>
      <x:name val="Figtree"/>
    </x:font>
    <x:font>
      <x:b/>
      <x:sz val="18"/>
      <x:color rgb="FFFFF9EC"/>
      <x:name val="Figtree"/>
    </x:font>
    <x:font>
      <x:sz val="10"/>
      <x:color rgb="FFC8C0B0"/>
      <x:name val="Figtree"/>
    </x:font>
    <x:font>
      <x:b/>
      <x:sz val="12"/>
      <x:color rgb="FF9A5532"/>
      <x:name val="Figtree"/>
    </x:font>
    <x:font>
      <x:b/>
      <x:sz val="11"/>
      <x:color rgb="FFFFFDF7"/>
      <x:name val="Carlito"/>
    </x:font>
    <x:font>
      <x:sz val="11"/>
      <x:color rgb="FF2E2C2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815"/>
      </x:patternFill>
    </x:fill>
    <x:fill>
      <x:patternFill patternType="solid">
        <x:fgColor rgb="FFFFF9EC"/>
      </x:patternFill>
    </x:fill>
    <x:fill>
      <x:patternFill patternType="solid">
        <x:fgColor rgb="FF22231F"/>
      </x:patternFill>
    </x:fill>
    <x:fill>
      <x:patternFill patternType="solid">
        <x:fgColor rgb="FFF1EBDD"/>
      </x:patternFill>
    </x:fill>
    <x:fill>
      <x:patternFill patternType="solid">
        <x:fgColor rgb="FF171916"/>
      </x:patternFill>
    </x:fill>
    <x:fill>
      <x:patternFill patternType="solid">
        <x:fgColor rgb="FFFFF9EA"/>
      </x:patternFill>
    </x:fill>
  </x:fills>
  <x:borders count="12">
    <x:border/>
    <x:border>
      <x:right style="thin">
        <x:color rgb="FF22231F"/>
      </x:right>
    </x:border>
    <x:border>
      <x:left style="thin">
        <x:color rgb="FF22231F"/>
      </x:left>
      <x:right style="thin">
        <x:color rgb="FF22231F"/>
      </x:right>
    </x:border>
    <x:border>
      <x:left style="thin">
        <x:color rgb="FF22231F"/>
      </x:left>
    </x:border>
    <x:border>
      <x:bottom style="thin">
        <x:color rgb="FFDED6C6"/>
      </x:bottom>
    </x:border>
    <x:border>
      <x:top style="thin">
        <x:color rgb="FFDED6C6"/>
      </x:top>
      <x:bottom style="thin">
        <x:color rgb="FFDED6C6"/>
      </x:bottom>
    </x:border>
    <x:border>
      <x:top style="thin">
        <x:color rgb="FFDED6C6"/>
      </x:top>
      <x:bottom style="thin">
        <x:color rgb="FFC8C0B0"/>
      </x:bottom>
    </x:border>
    <x:border>
      <x:bottom style="thin">
        <x:color rgb="FFC8C0B0"/>
      </x:bottom>
    </x:border>
    <x:border>
      <x:top style="thin">
        <x:color rgb="FFC8C0B0"/>
      </x:top>
      <x:bottom style="thin">
        <x:color rgb="FFC8C0B0"/>
      </x:bottom>
    </x:border>
    <x:border>
      <x:top style="thin">
        <x:color rgb="FFC8C0B0"/>
      </x:top>
      <x:bottom style="thin">
        <x:color rgb="FFDED6C6"/>
      </x:bottom>
    </x:border>
    <x:border>
      <x:left style="thin">
        <x:color rgb="FF171916"/>
      </x:left>
      <x:right style="thin">
        <x:color rgb="FF171916"/>
      </x:right>
      <x:top style="thin">
        <x:color rgb="FF171916"/>
      </x:top>
      <x:bottom style="thin">
        <x:color rgb="FF171916"/>
      </x:bottom>
    </x:border>
    <x:border>
      <x:left style="thin">
        <x:color rgb="FFE7DEC7"/>
      </x:left>
      <x:right style="thin">
        <x:color rgb="FFE7DEC7"/>
      </x:right>
      <x:top style="thin">
        <x:color rgb="FFE7DEC7"/>
      </x:top>
      <x:bottom style="thin">
        <x:color rgb="FFE7DEC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/>
    <x:xf numFmtId="0" fontId="2" fillId="3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vertical="center"/>
    </x:xf>
    <x:xf numFmtId="0" fontId="2" fillId="5" borderId="5" xfId="0" applyNumberFormat="1" applyFont="1" applyFill="1" applyBorder="1" applyAlignment="1">
      <x:alignment vertical="center"/>
    </x:xf>
    <x:xf numFmtId="0" fontId="2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horizontal="right" vertical="center"/>
    </x:xf>
    <x:xf numFmtId="0" fontId="5" fillId="5" borderId="8" xfId="0" applyNumberFormat="1" applyFont="1" applyFill="1" applyBorder="1" applyAlignment="1">
      <x:alignment horizontal="right" vertical="center"/>
    </x:xf>
    <x:xf numFmtId="0" fontId="5" fillId="5" borderId="9" xfId="0" applyNumberFormat="1" applyFont="1" applyFill="1" applyBorder="1" applyAlignment="1">
      <x:alignment horizontal="right" vertical="center"/>
    </x:xf>
    <x:xf numFmtId="201" fontId="5" fillId="5" borderId="7" xfId="0" applyNumberFormat="1" applyFont="1" applyFill="1" applyBorder="1" applyAlignment="1">
      <x:alignment horizontal="right" vertical="center"/>
    </x:xf>
    <x:xf numFmtId="201" fontId="5" fillId="5" borderId="8" xfId="0" applyNumberFormat="1" applyFont="1" applyFill="1" applyBorder="1" applyAlignment="1">
      <x:alignment horizontal="right" vertical="center"/>
    </x:xf>
    <x:xf numFmtId="201" fontId="5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1" xfId="0" applyNumberFormat="1" applyFont="1" applyFill="1" applyBorder="1"/>
    <x:xf numFmtId="0" fontId="7" fillId="7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c042c26f84938" /><Relationship Type="http://schemas.openxmlformats.org/officeDocument/2006/relationships/theme" Target="/xl/theme/theme1.xml" Id="R937ba68262134f3f" /><Relationship Type="http://schemas.microsoft.com/office/2022/11/relationships/FeaturePropertyBag" Target="/xl/featurePropertyBag/featurePropertyBag.xml" Id="Rf65c266e38ca4b94" /><Relationship Type="http://schemas.openxmlformats.org/officeDocument/2006/relationships/sharedStrings" Target="/xl/sharedStrings.xml" Id="R8770d39e3c504dd6" /><Relationship Type="http://schemas.openxmlformats.org/officeDocument/2006/relationships/worksheet" Target="/xl/worksheets/sheet1.xml" Id="Rd098b88d8de94a2b" /><Relationship Type="http://schemas.openxmlformats.org/officeDocument/2006/relationships/worksheet" Target="/xl/worksheets/sheet2.xml" Id="R44d481dd5d844da3" /><Relationship Type="http://schemas.openxmlformats.org/officeDocument/2006/relationships/worksheet" Target="/xl/worksheets/sheet3.xml" Id="Rfda359ddfbf84fbc" /><Relationship Type="http://schemas.openxmlformats.org/officeDocument/2006/relationships/worksheet" Target="/xl/worksheets/sheet4.xml" Id="Rb3b31614ca6649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densMaioTable" displayName="OrdensMaioTable" ref="A1:P139" headerRowCount="1" totalsRowCount="0" totalsRowShown="0">
  <x:tableColumns count="16">
    <x:tableColumn id="1" name="ordem_id"/>
    <x:tableColumn id="2" name="cliente_ref"/>
    <x:tableColumn id="3" name="aberta_em"/>
    <x:tableColumn id="4" name="visita_realizada_em"/>
    <x:tableColumn id="5" name="regiao"/>
    <x:tableColumn id="6" name="tipo_servico"/>
    <x:tableColumn id="7" name="equipamento_ref"/>
    <x:tableColumn id="8" name="descricao_sintoma"/>
    <x:tableColumn id="9" name="contato_confirmado"/>
    <x:tableColumn id="10" name="status"/>
    <x:tableColumn id="11" name="visita_realizada"/>
    <x:tableColumn id="12" name="atendimento_concluido"/>
    <x:tableColumn id="13" name="ordem_completa"/>
    <x:tableColumn id="14" name="retorno_necessario"/>
    <x:tableColumn id="15" name="motivo_retorno_sintetico"/>
    <x:tableColumn id="16" name="tecnico_re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daMaioTable" displayName="AgendaMaioTable" ref="A1:H139" headerRowCount="1" totalsRowCount="0" totalsRowShown="0">
  <x:tableColumns count="8">
    <x:tableColumn id="1" name="ordem_id"/>
    <x:tableColumn id="2" name="data_original"/>
    <x:tableColumn id="3" name="data_final"/>
    <x:tableColumn id="4" name="regiao"/>
    <x:tableColumn id="5" name="houve_mudanca"/>
    <x:tableColumn id="6" name="motivo_mudanca"/>
    <x:tableColumn id="7" name="tempo_ajuste_min"/>
    <x:tableColumn id="8" name="aprovado_por_human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icoOperacoes" displayName="HistoricoOperacoes" ref="A1:G13" headerRowCount="1" totalsRowCount="0" totalsRowShown="0">
  <x:tableColumns count="7">
    <x:tableColumn id="1" name="periodo"/>
    <x:tableColumn id="2" name="visitas"/>
    <x:tableColumn id="3" name="mudancas_agenda"/>
    <x:tableColumn id="4" name="tempo_ajuste_min"/>
    <x:tableColumn id="5" name="ordens_incompletas"/>
    <x:tableColumn id="6" name="atendimentos_concluidos"/>
    <x:tableColumn id="7" name="retorn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13d91676e043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6a8f15851745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7ec89fee3b43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1" hidden="0" customWidth="1"/>
    <x:col min="4" max="4" width="23" hidden="0" customWidth="1"/>
    <x:col min="5" max="5" width="13" hidden="0" customWidth="1"/>
    <x:col min="6" max="6" width="20" hidden="0" customWidth="1"/>
    <x:col min="7" max="7" width="18" hidden="0" customWidth="1"/>
    <x:col min="8" max="8" width="24" hidden="0" customWidth="1"/>
    <x:col min="9" max="9" width="21" hidden="0" customWidth="1"/>
    <x:col min="10" max="10" width="20" hidden="0" customWidth="1"/>
    <x:col min="11" max="11" width="18" hidden="0" customWidth="1"/>
    <x:col min="12" max="12" width="22" hidden="0" customWidth="1"/>
    <x:col min="13" max="13" width="17" hidden="0" customWidth="1"/>
    <x:col min="14" max="14" width="20" hidden="0" customWidth="1"/>
    <x:col min="15" max="15" width="52" hidden="0" customWidth="1"/>
    <x:col min="16" max="16" width="13" hidden="0" customWidth="1"/>
  </x:cols>
  <x:sheetData>
    <x:row r="1" ht="34" customHeight="1">
      <x:c r="A1" s="10" t="str">
        <x:v>ordem_id</x:v>
      </x:c>
      <x:c r="B1" s="11" t="str">
        <x:v>cliente_ref</x:v>
      </x:c>
      <x:c r="C1" s="11" t="str">
        <x:v>aberta_em</x:v>
      </x:c>
      <x:c r="D1" s="11" t="str">
        <x:v>visita_realizada_em</x:v>
      </x:c>
      <x:c r="E1" s="11" t="str">
        <x:v>regiao</x:v>
      </x:c>
      <x:c r="F1" s="11" t="str">
        <x:v>tipo_servico</x:v>
      </x:c>
      <x:c r="G1" s="11" t="str">
        <x:v>equipamento_ref</x:v>
      </x:c>
      <x:c r="H1" s="11" t="str">
        <x:v>descricao_sintoma</x:v>
      </x:c>
      <x:c r="I1" s="11" t="str">
        <x:v>contato_confirmado</x:v>
      </x:c>
      <x:c r="J1" s="11" t="str">
        <x:v>status</x:v>
      </x:c>
      <x:c r="K1" s="11" t="str">
        <x:v>visita_realizada</x:v>
      </x:c>
      <x:c r="L1" s="11" t="str">
        <x:v>atendimento_concluido</x:v>
      </x:c>
      <x:c r="M1" s="11" t="str">
        <x:v>ordem_completa</x:v>
      </x:c>
      <x:c r="N1" s="11" t="str">
        <x:v>retorno_necessario</x:v>
      </x:c>
      <x:c r="O1" s="11" t="str">
        <x:v>motivo_retorno_sintetico</x:v>
      </x:c>
      <x:c r="P1" s="12" t="str">
        <x:v>tecnico_ref</x:v>
      </x:c>
    </x:row>
    <x:row r="2">
      <x:c r="A2" s="23" t="str">
        <x:v>OS0001</x:v>
      </x:c>
      <x:c r="B2" s="23" t="str">
        <x:v>CL001</x:v>
      </x:c>
      <x:c r="C2" s="29" t="n">
        <x:v>46143.25</x:v>
      </x:c>
      <x:c r="D2" s="29" t="n">
        <x:v>46143.333333333336</x:v>
      </x:c>
      <x:c r="E2" s="23" t="str">
        <x:v>Norte</x:v>
      </x:c>
      <x:c r="F2" s="23" t="str">
        <x:v>Elétrica leve</x:v>
      </x:c>
      <x:c r="G2" s="23" t="str"/>
      <x:c r="H2" s="23" t="str">
        <x:v>Oscilação</x:v>
      </x:c>
      <x:c r="I2" s="32" t="b">
        <x:v>1</x:v>
      </x:c>
      <x:c r="J2" s="33" t="str">
        <x:v>Concluída</x:v>
      </x:c>
      <x:c r="K2" s="33" t="n">
        <x:v>1</x:v>
      </x:c>
      <x:c r="L2" s="33" t="n">
        <x:f>IF(J2="Concluída",1,0)</x:f>
        <x:v>1</x:v>
      </x:c>
      <x:c r="M2" s="33" t="n">
        <x:f>IF(AND(G2&lt;&gt;"",H2&lt;&gt;"",I2=TRUE),1,0)</x:f>
        <x:v>0</x:v>
      </x:c>
      <x:c r="N2" s="33" t="n">
        <x:v>1</x:v>
      </x:c>
      <x:c r="O2" s="38" t="str">
        <x:v>Informação ou peça confirmada somente após a visita inicial.</x:v>
      </x:c>
      <x:c r="P2" s="23" t="str">
        <x:v>TEC01</x:v>
      </x:c>
    </x:row>
    <x:row r="3">
      <x:c r="A3" s="25" t="str">
        <x:v>OS0002</x:v>
      </x:c>
      <x:c r="B3" s="25" t="str">
        <x:v>CL002</x:v>
      </x:c>
      <x:c r="C3" s="30" t="n">
        <x:v>46143.25</x:v>
      </x:c>
      <x:c r="D3" s="30" t="n">
        <x:v>46144.375</x:v>
      </x:c>
      <x:c r="E3" s="25" t="str">
        <x:v>Sul</x:v>
      </x:c>
      <x:c r="F3" s="25" t="str">
        <x:v>Climatização</x:v>
      </x:c>
      <x:c r="G3" s="25" t="str">
        <x:v>EQ002</x:v>
      </x:c>
      <x:c r="H3" s="25" t="str"/>
      <x:c r="I3" s="34" t="b">
        <x:v>1</x:v>
      </x:c>
      <x:c r="J3" s="35" t="str">
        <x:v>Concluída</x:v>
      </x:c>
      <x:c r="K3" s="35" t="n">
        <x:v>1</x:v>
      </x:c>
      <x:c r="L3" s="35" t="n">
        <x:f>IF(J3="Concluída",1,0)</x:f>
        <x:v>1</x:v>
      </x:c>
      <x:c r="M3" s="35" t="n">
        <x:f>IF(AND(G3&lt;&gt;"",H3&lt;&gt;"",I3=TRUE),1,0)</x:f>
        <x:v>0</x:v>
      </x:c>
      <x:c r="N3" s="35" t="n">
        <x:v>1</x:v>
      </x:c>
      <x:c r="O3" s="39" t="str">
        <x:v>Informação ou peça confirmada somente após a visita inicial.</x:v>
      </x:c>
      <x:c r="P3" s="25" t="str">
        <x:v>TEC02</x:v>
      </x:c>
    </x:row>
    <x:row r="4">
      <x:c r="A4" s="25" t="str">
        <x:v>OS0003</x:v>
      </x:c>
      <x:c r="B4" s="25" t="str">
        <x:v>CL003</x:v>
      </x:c>
      <x:c r="C4" s="30" t="n">
        <x:v>46143.416666666664</x:v>
      </x:c>
      <x:c r="D4" s="30" t="n">
        <x:v>46145.416666666664</x:v>
      </x:c>
      <x:c r="E4" s="25" t="str">
        <x:v>Leste</x:v>
      </x:c>
      <x:c r="F4" s="25" t="str">
        <x:v>Refrigeração</x:v>
      </x:c>
      <x:c r="G4" s="25" t="str">
        <x:v>EQ003</x:v>
      </x:c>
      <x:c r="H4" s="25" t="str">
        <x:v>Vazamento</x:v>
      </x:c>
      <x:c r="I4" s="34" t="b">
        <x:v>0</x:v>
      </x:c>
      <x:c r="J4" s="35" t="str">
        <x:v>Concluída</x:v>
      </x:c>
      <x:c r="K4" s="35" t="n">
        <x:v>1</x:v>
      </x:c>
      <x:c r="L4" s="35" t="n">
        <x:f>IF(J4="Concluída",1,0)</x:f>
        <x:v>1</x:v>
      </x:c>
      <x:c r="M4" s="35" t="n">
        <x:f>IF(AND(G4&lt;&gt;"",H4&lt;&gt;"",I4=TRUE),1,0)</x:f>
        <x:v>0</x:v>
      </x:c>
      <x:c r="N4" s="35" t="n">
        <x:v>1</x:v>
      </x:c>
      <x:c r="O4" s="39" t="str">
        <x:v>Informação ou peça confirmada somente após a visita inicial.</x:v>
      </x:c>
      <x:c r="P4" s="25" t="str">
        <x:v>TEC03</x:v>
      </x:c>
    </x:row>
    <x:row r="5">
      <x:c r="A5" s="25" t="str">
        <x:v>OS0004</x:v>
      </x:c>
      <x:c r="B5" s="25" t="str">
        <x:v>CL004</x:v>
      </x:c>
      <x:c r="C5" s="30" t="n">
        <x:v>46144.458333333336</x:v>
      </x:c>
      <x:c r="D5" s="30" t="n">
        <x:v>46146.458333333336</x:v>
      </x:c>
      <x:c r="E5" s="25" t="str">
        <x:v>Oeste</x:v>
      </x:c>
      <x:c r="F5" s="25" t="str">
        <x:v>Hidráulica leve</x:v>
      </x:c>
      <x:c r="G5" s="25" t="str"/>
      <x:c r="H5" s="25" t="str">
        <x:v>Falha intermitente</x:v>
      </x:c>
      <x:c r="I5" s="34" t="b">
        <x:v>1</x:v>
      </x:c>
      <x:c r="J5" s="35" t="str">
        <x:v>Concluída</x:v>
      </x:c>
      <x:c r="K5" s="35" t="n">
        <x:v>1</x:v>
      </x:c>
      <x:c r="L5" s="35" t="n">
        <x:f>IF(J5="Concluída",1,0)</x:f>
        <x:v>1</x:v>
      </x:c>
      <x:c r="M5" s="35" t="n">
        <x:f>IF(AND(G5&lt;&gt;"",H5&lt;&gt;"",I5=TRUE),1,0)</x:f>
        <x:v>0</x:v>
      </x:c>
      <x:c r="N5" s="35" t="n">
        <x:v>1</x:v>
      </x:c>
      <x:c r="O5" s="39" t="str">
        <x:v>Informação ou peça confirmada somente após a visita inicial.</x:v>
      </x:c>
      <x:c r="P5" s="25" t="str">
        <x:v>TEC04</x:v>
      </x:c>
    </x:row>
    <x:row r="6">
      <x:c r="A6" s="25" t="str">
        <x:v>OS0005</x:v>
      </x:c>
      <x:c r="B6" s="25" t="str">
        <x:v>CL005</x:v>
      </x:c>
      <x:c r="C6" s="30" t="n">
        <x:v>46145.5</x:v>
      </x:c>
      <x:c r="D6" s="30" t="n">
        <x:v>46147.5</x:v>
      </x:c>
      <x:c r="E6" s="25" t="str">
        <x:v>Centro</x:v>
      </x:c>
      <x:c r="F6" s="25" t="str">
        <x:v>Elétrica leve</x:v>
      </x:c>
      <x:c r="G6" s="25" t="str">
        <x:v>EQ005</x:v>
      </x:c>
      <x:c r="H6" s="25" t="str"/>
      <x:c r="I6" s="34" t="b">
        <x:v>1</x:v>
      </x:c>
      <x:c r="J6" s="35" t="str">
        <x:v>Concluída</x:v>
      </x:c>
      <x:c r="K6" s="35" t="n">
        <x:v>1</x:v>
      </x:c>
      <x:c r="L6" s="35" t="n">
        <x:f>IF(J6="Concluída",1,0)</x:f>
        <x:v>1</x:v>
      </x:c>
      <x:c r="M6" s="35" t="n">
        <x:f>IF(AND(G6&lt;&gt;"",H6&lt;&gt;"",I6=TRUE),1,0)</x:f>
        <x:v>0</x:v>
      </x:c>
      <x:c r="N6" s="35" t="n">
        <x:v>1</x:v>
      </x:c>
      <x:c r="O6" s="39" t="str">
        <x:v>Informação ou peça confirmada somente após a visita inicial.</x:v>
      </x:c>
      <x:c r="P6" s="25" t="str">
        <x:v>TEC05</x:v>
      </x:c>
    </x:row>
    <x:row r="7">
      <x:c r="A7" s="25" t="str">
        <x:v>OS0006</x:v>
      </x:c>
      <x:c r="B7" s="25" t="str">
        <x:v>CL006</x:v>
      </x:c>
      <x:c r="C7" s="30" t="n">
        <x:v>46146.541666666664</x:v>
      </x:c>
      <x:c r="D7" s="30" t="n">
        <x:v>46148.541666666664</x:v>
      </x:c>
      <x:c r="E7" s="25" t="str">
        <x:v>Norte</x:v>
      </x:c>
      <x:c r="F7" s="25" t="str">
        <x:v>Climatização</x:v>
      </x:c>
      <x:c r="G7" s="25" t="str">
        <x:v>EQ006</x:v>
      </x:c>
      <x:c r="H7" s="25" t="str">
        <x:v>Baixa eficiência</x:v>
      </x:c>
      <x:c r="I7" s="34" t="b">
        <x:v>0</x:v>
      </x:c>
      <x:c r="J7" s="35" t="str">
        <x:v>Concluída</x:v>
      </x:c>
      <x:c r="K7" s="35" t="n">
        <x:v>1</x:v>
      </x:c>
      <x:c r="L7" s="35" t="n">
        <x:f>IF(J7="Concluída",1,0)</x:f>
        <x:v>1</x:v>
      </x:c>
      <x:c r="M7" s="35" t="n">
        <x:f>IF(AND(G7&lt;&gt;"",H7&lt;&gt;"",I7=TRUE),1,0)</x:f>
        <x:v>0</x:v>
      </x:c>
      <x:c r="N7" s="35" t="n">
        <x:v>1</x:v>
      </x:c>
      <x:c r="O7" s="39" t="str">
        <x:v>Informação ou peça confirmada somente após a visita inicial.</x:v>
      </x:c>
      <x:c r="P7" s="25" t="str">
        <x:v>TEC06</x:v>
      </x:c>
    </x:row>
    <x:row r="8">
      <x:c r="A8" s="25" t="str">
        <x:v>OS0007</x:v>
      </x:c>
      <x:c r="B8" s="25" t="str">
        <x:v>CL007</x:v>
      </x:c>
      <x:c r="C8" s="30" t="n">
        <x:v>46147.583333333336</x:v>
      </x:c>
      <x:c r="D8" s="30" t="n">
        <x:v>46149.583333333336</x:v>
      </x:c>
      <x:c r="E8" s="25" t="str">
        <x:v>Sul</x:v>
      </x:c>
      <x:c r="F8" s="25" t="str">
        <x:v>Refrigeração</x:v>
      </x:c>
      <x:c r="G8" s="25" t="str"/>
      <x:c r="H8" s="25" t="str">
        <x:v>Vazamento</x:v>
      </x:c>
      <x:c r="I8" s="34" t="b">
        <x:v>1</x:v>
      </x:c>
      <x:c r="J8" s="35" t="str">
        <x:v>Concluída</x:v>
      </x:c>
      <x:c r="K8" s="35" t="n">
        <x:v>1</x:v>
      </x:c>
      <x:c r="L8" s="35" t="n">
        <x:f>IF(J8="Concluída",1,0)</x:f>
        <x:v>1</x:v>
      </x:c>
      <x:c r="M8" s="35" t="n">
        <x:f>IF(AND(G8&lt;&gt;"",H8&lt;&gt;"",I8=TRUE),1,0)</x:f>
        <x:v>0</x:v>
      </x:c>
      <x:c r="N8" s="35" t="n">
        <x:v>1</x:v>
      </x:c>
      <x:c r="O8" s="39" t="str">
        <x:v>Informação ou peça confirmada somente após a visita inicial.</x:v>
      </x:c>
      <x:c r="P8" s="25" t="str">
        <x:v>TEC07</x:v>
      </x:c>
    </x:row>
    <x:row r="9">
      <x:c r="A9" s="25" t="str">
        <x:v>OS0008</x:v>
      </x:c>
      <x:c r="B9" s="25" t="str">
        <x:v>CL008</x:v>
      </x:c>
      <x:c r="C9" s="30" t="n">
        <x:v>46148.625</x:v>
      </x:c>
      <x:c r="D9" s="30" t="n">
        <x:v>46150.625</x:v>
      </x:c>
      <x:c r="E9" s="25" t="str">
        <x:v>Leste</x:v>
      </x:c>
      <x:c r="F9" s="25" t="str">
        <x:v>Hidráulica leve</x:v>
      </x:c>
      <x:c r="G9" s="25" t="str">
        <x:v>EQ008</x:v>
      </x:c>
      <x:c r="H9" s="25" t="str"/>
      <x:c r="I9" s="34" t="b">
        <x:v>1</x:v>
      </x:c>
      <x:c r="J9" s="35" t="str">
        <x:v>Concluída</x:v>
      </x:c>
      <x:c r="K9" s="35" t="n">
        <x:v>1</x:v>
      </x:c>
      <x:c r="L9" s="35" t="n">
        <x:f>IF(J9="Concluída",1,0)</x:f>
        <x:v>1</x:v>
      </x:c>
      <x:c r="M9" s="35" t="n">
        <x:f>IF(AND(G9&lt;&gt;"",H9&lt;&gt;"",I9=TRUE),1,0)</x:f>
        <x:v>0</x:v>
      </x:c>
      <x:c r="N9" s="35" t="n">
        <x:v>1</x:v>
      </x:c>
      <x:c r="O9" s="39" t="str">
        <x:v>Informação ou peça confirmada somente após a visita inicial.</x:v>
      </x:c>
      <x:c r="P9" s="25" t="str">
        <x:v>TEC01</x:v>
      </x:c>
    </x:row>
    <x:row r="10">
      <x:c r="A10" s="25" t="str">
        <x:v>OS0009</x:v>
      </x:c>
      <x:c r="B10" s="25" t="str">
        <x:v>CL009</x:v>
      </x:c>
      <x:c r="C10" s="30" t="n">
        <x:v>46149.333333333336</x:v>
      </x:c>
      <x:c r="D10" s="30" t="n">
        <x:v>46151.333333333336</x:v>
      </x:c>
      <x:c r="E10" s="25" t="str">
        <x:v>Oeste</x:v>
      </x:c>
      <x:c r="F10" s="25" t="str">
        <x:v>Elétrica leve</x:v>
      </x:c>
      <x:c r="G10" s="25" t="str">
        <x:v>EQ009</x:v>
      </x:c>
      <x:c r="H10" s="25" t="str">
        <x:v>Oscilação</x:v>
      </x:c>
      <x:c r="I10" s="34" t="b">
        <x:v>0</x:v>
      </x:c>
      <x:c r="J10" s="35" t="str">
        <x:v>Concluída</x:v>
      </x:c>
      <x:c r="K10" s="35" t="n">
        <x:v>1</x:v>
      </x:c>
      <x:c r="L10" s="35" t="n">
        <x:f>IF(J10="Concluída",1,0)</x:f>
        <x:v>1</x:v>
      </x:c>
      <x:c r="M10" s="35" t="n">
        <x:f>IF(AND(G10&lt;&gt;"",H10&lt;&gt;"",I10=TRUE),1,0)</x:f>
        <x:v>0</x:v>
      </x:c>
      <x:c r="N10" s="35" t="n">
        <x:v>1</x:v>
      </x:c>
      <x:c r="O10" s="39" t="str">
        <x:v>Informação ou peça confirmada somente após a visita inicial.</x:v>
      </x:c>
      <x:c r="P10" s="25" t="str">
        <x:v>TEC02</x:v>
      </x:c>
    </x:row>
    <x:row r="11">
      <x:c r="A11" s="25" t="str">
        <x:v>OS0010</x:v>
      </x:c>
      <x:c r="B11" s="25" t="str">
        <x:v>CL010</x:v>
      </x:c>
      <x:c r="C11" s="30" t="n">
        <x:v>46150.375</x:v>
      </x:c>
      <x:c r="D11" s="30" t="n">
        <x:v>46152.375</x:v>
      </x:c>
      <x:c r="E11" s="25" t="str">
        <x:v>Centro</x:v>
      </x:c>
      <x:c r="F11" s="25" t="str">
        <x:v>Climatização</x:v>
      </x:c>
      <x:c r="G11" s="25" t="str"/>
      <x:c r="H11" s="25" t="str">
        <x:v>Baixa eficiência</x:v>
      </x:c>
      <x:c r="I11" s="34" t="b">
        <x:v>1</x:v>
      </x:c>
      <x:c r="J11" s="35" t="str">
        <x:v>Concluída</x:v>
      </x:c>
      <x:c r="K11" s="35" t="n">
        <x:v>1</x:v>
      </x:c>
      <x:c r="L11" s="35" t="n">
        <x:f>IF(J11="Concluída",1,0)</x:f>
        <x:v>1</x:v>
      </x:c>
      <x:c r="M11" s="35" t="n">
        <x:f>IF(AND(G11&lt;&gt;"",H11&lt;&gt;"",I11=TRUE),1,0)</x:f>
        <x:v>0</x:v>
      </x:c>
      <x:c r="N11" s="35" t="n">
        <x:v>0</x:v>
      </x:c>
      <x:c r="O11" s="39" t="str"/>
      <x:c r="P11" s="25" t="str">
        <x:v>TEC03</x:v>
      </x:c>
    </x:row>
    <x:row r="12">
      <x:c r="A12" s="25" t="str">
        <x:v>OS0011</x:v>
      </x:c>
      <x:c r="B12" s="25" t="str">
        <x:v>CL011</x:v>
      </x:c>
      <x:c r="C12" s="30" t="n">
        <x:v>46151.416666666664</x:v>
      </x:c>
      <x:c r="D12" s="30" t="n">
        <x:v>46153.416666666664</x:v>
      </x:c>
      <x:c r="E12" s="25" t="str">
        <x:v>Norte</x:v>
      </x:c>
      <x:c r="F12" s="25" t="str">
        <x:v>Refrigeração</x:v>
      </x:c>
      <x:c r="G12" s="25" t="str">
        <x:v>EQ011</x:v>
      </x:c>
      <x:c r="H12" s="25" t="str"/>
      <x:c r="I12" s="34" t="b">
        <x:v>1</x:v>
      </x:c>
      <x:c r="J12" s="35" t="str">
        <x:v>Concluída</x:v>
      </x:c>
      <x:c r="K12" s="35" t="n">
        <x:v>1</x:v>
      </x:c>
      <x:c r="L12" s="35" t="n">
        <x:f>IF(J12="Concluída",1,0)</x:f>
        <x:v>1</x:v>
      </x:c>
      <x:c r="M12" s="35" t="n">
        <x:f>IF(AND(G12&lt;&gt;"",H12&lt;&gt;"",I12=TRUE),1,0)</x:f>
        <x:v>0</x:v>
      </x:c>
      <x:c r="N12" s="35" t="n">
        <x:v>0</x:v>
      </x:c>
      <x:c r="O12" s="39" t="str"/>
      <x:c r="P12" s="25" t="str">
        <x:v>TEC04</x:v>
      </x:c>
    </x:row>
    <x:row r="13">
      <x:c r="A13" s="25" t="str">
        <x:v>OS0012</x:v>
      </x:c>
      <x:c r="B13" s="25" t="str">
        <x:v>CL012</x:v>
      </x:c>
      <x:c r="C13" s="30" t="n">
        <x:v>46152.458333333336</x:v>
      </x:c>
      <x:c r="D13" s="30" t="n">
        <x:v>46154.458333333336</x:v>
      </x:c>
      <x:c r="E13" s="25" t="str">
        <x:v>Sul</x:v>
      </x:c>
      <x:c r="F13" s="25" t="str">
        <x:v>Hidráulica leve</x:v>
      </x:c>
      <x:c r="G13" s="25" t="str">
        <x:v>EQ012</x:v>
      </x:c>
      <x:c r="H13" s="25" t="str">
        <x:v>Falha intermitente</x:v>
      </x:c>
      <x:c r="I13" s="34" t="b">
        <x:v>0</x:v>
      </x:c>
      <x:c r="J13" s="35" t="str">
        <x:v>Concluída</x:v>
      </x:c>
      <x:c r="K13" s="35" t="n">
        <x:v>1</x:v>
      </x:c>
      <x:c r="L13" s="35" t="n">
        <x:f>IF(J13="Concluída",1,0)</x:f>
        <x:v>1</x:v>
      </x:c>
      <x:c r="M13" s="35" t="n">
        <x:f>IF(AND(G13&lt;&gt;"",H13&lt;&gt;"",I13=TRUE),1,0)</x:f>
        <x:v>0</x:v>
      </x:c>
      <x:c r="N13" s="35" t="n">
        <x:v>0</x:v>
      </x:c>
      <x:c r="O13" s="39" t="str"/>
      <x:c r="P13" s="25" t="str">
        <x:v>TEC05</x:v>
      </x:c>
    </x:row>
    <x:row r="14">
      <x:c r="A14" s="25" t="str">
        <x:v>OS0013</x:v>
      </x:c>
      <x:c r="B14" s="25" t="str">
        <x:v>CL013</x:v>
      </x:c>
      <x:c r="C14" s="30" t="n">
        <x:v>46153.5</x:v>
      </x:c>
      <x:c r="D14" s="30" t="n">
        <x:v>46155.5</x:v>
      </x:c>
      <x:c r="E14" s="25" t="str">
        <x:v>Leste</x:v>
      </x:c>
      <x:c r="F14" s="25" t="str">
        <x:v>Elétrica leve</x:v>
      </x:c>
      <x:c r="G14" s="25" t="str"/>
      <x:c r="H14" s="25" t="str">
        <x:v>Oscilação</x:v>
      </x:c>
      <x:c r="I14" s="34" t="b">
        <x:v>1</x:v>
      </x:c>
      <x:c r="J14" s="35" t="str">
        <x:v>Concluída</x:v>
      </x:c>
      <x:c r="K14" s="35" t="n">
        <x:v>1</x:v>
      </x:c>
      <x:c r="L14" s="35" t="n">
        <x:f>IF(J14="Concluída",1,0)</x:f>
        <x:v>1</x:v>
      </x:c>
      <x:c r="M14" s="35" t="n">
        <x:f>IF(AND(G14&lt;&gt;"",H14&lt;&gt;"",I14=TRUE),1,0)</x:f>
        <x:v>0</x:v>
      </x:c>
      <x:c r="N14" s="35" t="n">
        <x:v>0</x:v>
      </x:c>
      <x:c r="O14" s="39" t="str"/>
      <x:c r="P14" s="25" t="str">
        <x:v>TEC06</x:v>
      </x:c>
    </x:row>
    <x:row r="15">
      <x:c r="A15" s="25" t="str">
        <x:v>OS0014</x:v>
      </x:c>
      <x:c r="B15" s="25" t="str">
        <x:v>CL014</x:v>
      </x:c>
      <x:c r="C15" s="30" t="n">
        <x:v>46154.541666666664</x:v>
      </x:c>
      <x:c r="D15" s="30" t="n">
        <x:v>46156.541666666664</x:v>
      </x:c>
      <x:c r="E15" s="25" t="str">
        <x:v>Oeste</x:v>
      </x:c>
      <x:c r="F15" s="25" t="str">
        <x:v>Climatização</x:v>
      </x:c>
      <x:c r="G15" s="25" t="str">
        <x:v>EQ014</x:v>
      </x:c>
      <x:c r="H15" s="25" t="str"/>
      <x:c r="I15" s="34" t="b">
        <x:v>1</x:v>
      </x:c>
      <x:c r="J15" s="35" t="str">
        <x:v>Concluída</x:v>
      </x:c>
      <x:c r="K15" s="35" t="n">
        <x:v>1</x:v>
      </x:c>
      <x:c r="L15" s="35" t="n">
        <x:f>IF(J15="Concluída",1,0)</x:f>
        <x:v>1</x:v>
      </x:c>
      <x:c r="M15" s="35" t="n">
        <x:f>IF(AND(G15&lt;&gt;"",H15&lt;&gt;"",I15=TRUE),1,0)</x:f>
        <x:v>0</x:v>
      </x:c>
      <x:c r="N15" s="35" t="n">
        <x:v>0</x:v>
      </x:c>
      <x:c r="O15" s="39" t="str"/>
      <x:c r="P15" s="25" t="str">
        <x:v>TEC07</x:v>
      </x:c>
    </x:row>
    <x:row r="16">
      <x:c r="A16" s="25" t="str">
        <x:v>OS0015</x:v>
      </x:c>
      <x:c r="B16" s="25" t="str">
        <x:v>CL015</x:v>
      </x:c>
      <x:c r="C16" s="30" t="n">
        <x:v>46155.583333333336</x:v>
      </x:c>
      <x:c r="D16" s="30" t="n">
        <x:v>46157.583333333336</x:v>
      </x:c>
      <x:c r="E16" s="25" t="str">
        <x:v>Centro</x:v>
      </x:c>
      <x:c r="F16" s="25" t="str">
        <x:v>Refrigeração</x:v>
      </x:c>
      <x:c r="G16" s="25" t="str">
        <x:v>EQ015</x:v>
      </x:c>
      <x:c r="H16" s="25" t="str">
        <x:v>Vazamento</x:v>
      </x:c>
      <x:c r="I16" s="34" t="b">
        <x:v>0</x:v>
      </x:c>
      <x:c r="J16" s="35" t="str">
        <x:v>Concluída</x:v>
      </x:c>
      <x:c r="K16" s="35" t="n">
        <x:v>1</x:v>
      </x:c>
      <x:c r="L16" s="35" t="n">
        <x:f>IF(J16="Concluída",1,0)</x:f>
        <x:v>1</x:v>
      </x:c>
      <x:c r="M16" s="35" t="n">
        <x:f>IF(AND(G16&lt;&gt;"",H16&lt;&gt;"",I16=TRUE),1,0)</x:f>
        <x:v>0</x:v>
      </x:c>
      <x:c r="N16" s="35" t="n">
        <x:v>0</x:v>
      </x:c>
      <x:c r="O16" s="39" t="str"/>
      <x:c r="P16" s="25" t="str">
        <x:v>TEC01</x:v>
      </x:c>
    </x:row>
    <x:row r="17">
      <x:c r="A17" s="25" t="str">
        <x:v>OS0016</x:v>
      </x:c>
      <x:c r="B17" s="25" t="str">
        <x:v>CL016</x:v>
      </x:c>
      <x:c r="C17" s="30" t="n">
        <x:v>46156.625</x:v>
      </x:c>
      <x:c r="D17" s="30" t="n">
        <x:v>46158.625</x:v>
      </x:c>
      <x:c r="E17" s="25" t="str">
        <x:v>Norte</x:v>
      </x:c>
      <x:c r="F17" s="25" t="str">
        <x:v>Hidráulica leve</x:v>
      </x:c>
      <x:c r="G17" s="25" t="str"/>
      <x:c r="H17" s="25" t="str">
        <x:v>Falha intermitente</x:v>
      </x:c>
      <x:c r="I17" s="34" t="b">
        <x:v>1</x:v>
      </x:c>
      <x:c r="J17" s="35" t="str">
        <x:v>Concluída</x:v>
      </x:c>
      <x:c r="K17" s="35" t="n">
        <x:v>1</x:v>
      </x:c>
      <x:c r="L17" s="35" t="n">
        <x:f>IF(J17="Concluída",1,0)</x:f>
        <x:v>1</x:v>
      </x:c>
      <x:c r="M17" s="35" t="n">
        <x:f>IF(AND(G17&lt;&gt;"",H17&lt;&gt;"",I17=TRUE),1,0)</x:f>
        <x:v>0</x:v>
      </x:c>
      <x:c r="N17" s="35" t="n">
        <x:v>0</x:v>
      </x:c>
      <x:c r="O17" s="39" t="str"/>
      <x:c r="P17" s="25" t="str">
        <x:v>TEC02</x:v>
      </x:c>
    </x:row>
    <x:row r="18">
      <x:c r="A18" s="25" t="str">
        <x:v>OS0017</x:v>
      </x:c>
      <x:c r="B18" s="25" t="str">
        <x:v>CL017</x:v>
      </x:c>
      <x:c r="C18" s="30" t="n">
        <x:v>46157.333333333336</x:v>
      </x:c>
      <x:c r="D18" s="30" t="n">
        <x:v>46159.333333333336</x:v>
      </x:c>
      <x:c r="E18" s="25" t="str">
        <x:v>Sul</x:v>
      </x:c>
      <x:c r="F18" s="25" t="str">
        <x:v>Elétrica leve</x:v>
      </x:c>
      <x:c r="G18" s="25" t="str">
        <x:v>EQ017</x:v>
      </x:c>
      <x:c r="H18" s="25" t="str"/>
      <x:c r="I18" s="34" t="b">
        <x:v>1</x:v>
      </x:c>
      <x:c r="J18" s="35" t="str">
        <x:v>Concluída</x:v>
      </x:c>
      <x:c r="K18" s="35" t="n">
        <x:v>1</x:v>
      </x:c>
      <x:c r="L18" s="35" t="n">
        <x:f>IF(J18="Concluída",1,0)</x:f>
        <x:v>1</x:v>
      </x:c>
      <x:c r="M18" s="35" t="n">
        <x:f>IF(AND(G18&lt;&gt;"",H18&lt;&gt;"",I18=TRUE),1,0)</x:f>
        <x:v>0</x:v>
      </x:c>
      <x:c r="N18" s="35" t="n">
        <x:v>0</x:v>
      </x:c>
      <x:c r="O18" s="39" t="str"/>
      <x:c r="P18" s="25" t="str">
        <x:v>TEC03</x:v>
      </x:c>
    </x:row>
    <x:row r="19">
      <x:c r="A19" s="25" t="str">
        <x:v>OS0018</x:v>
      </x:c>
      <x:c r="B19" s="25" t="str">
        <x:v>CL018</x:v>
      </x:c>
      <x:c r="C19" s="30" t="n">
        <x:v>46158.375</x:v>
      </x:c>
      <x:c r="D19" s="30" t="n">
        <x:v>46160.375</x:v>
      </x:c>
      <x:c r="E19" s="25" t="str">
        <x:v>Leste</x:v>
      </x:c>
      <x:c r="F19" s="25" t="str">
        <x:v>Climatização</x:v>
      </x:c>
      <x:c r="G19" s="25" t="str">
        <x:v>EQ018</x:v>
      </x:c>
      <x:c r="H19" s="25" t="str">
        <x:v>Baixa eficiência</x:v>
      </x:c>
      <x:c r="I19" s="34" t="b">
        <x:v>0</x:v>
      </x:c>
      <x:c r="J19" s="35" t="str">
        <x:v>Concluída</x:v>
      </x:c>
      <x:c r="K19" s="35" t="n">
        <x:v>1</x:v>
      </x:c>
      <x:c r="L19" s="35" t="n">
        <x:f>IF(J19="Concluída",1,0)</x:f>
        <x:v>1</x:v>
      </x:c>
      <x:c r="M19" s="35" t="n">
        <x:f>IF(AND(G19&lt;&gt;"",H19&lt;&gt;"",I19=TRUE),1,0)</x:f>
        <x:v>0</x:v>
      </x:c>
      <x:c r="N19" s="35" t="n">
        <x:v>0</x:v>
      </x:c>
      <x:c r="O19" s="39" t="str"/>
      <x:c r="P19" s="25" t="str">
        <x:v>TEC04</x:v>
      </x:c>
    </x:row>
    <x:row r="20">
      <x:c r="A20" s="25" t="str">
        <x:v>OS0019</x:v>
      </x:c>
      <x:c r="B20" s="25" t="str">
        <x:v>CL019</x:v>
      </x:c>
      <x:c r="C20" s="30" t="n">
        <x:v>46159.416666666664</x:v>
      </x:c>
      <x:c r="D20" s="30" t="n">
        <x:v>46161.416666666664</x:v>
      </x:c>
      <x:c r="E20" s="25" t="str">
        <x:v>Oeste</x:v>
      </x:c>
      <x:c r="F20" s="25" t="str">
        <x:v>Refrigeração</x:v>
      </x:c>
      <x:c r="G20" s="25" t="str"/>
      <x:c r="H20" s="25" t="str">
        <x:v>Vazamento</x:v>
      </x:c>
      <x:c r="I20" s="34" t="b">
        <x:v>1</x:v>
      </x:c>
      <x:c r="J20" s="35" t="str">
        <x:v>Concluída</x:v>
      </x:c>
      <x:c r="K20" s="35" t="n">
        <x:v>1</x:v>
      </x:c>
      <x:c r="L20" s="35" t="n">
        <x:f>IF(J20="Concluída",1,0)</x:f>
        <x:v>1</x:v>
      </x:c>
      <x:c r="M20" s="35" t="n">
        <x:f>IF(AND(G20&lt;&gt;"",H20&lt;&gt;"",I20=TRUE),1,0)</x:f>
        <x:v>0</x:v>
      </x:c>
      <x:c r="N20" s="35" t="n">
        <x:v>0</x:v>
      </x:c>
      <x:c r="O20" s="39" t="str"/>
      <x:c r="P20" s="25" t="str">
        <x:v>TEC05</x:v>
      </x:c>
    </x:row>
    <x:row r="21">
      <x:c r="A21" s="25" t="str">
        <x:v>OS0020</x:v>
      </x:c>
      <x:c r="B21" s="25" t="str">
        <x:v>CL020</x:v>
      </x:c>
      <x:c r="C21" s="30" t="n">
        <x:v>46160.458333333336</x:v>
      </x:c>
      <x:c r="D21" s="30" t="n">
        <x:v>46162.458333333336</x:v>
      </x:c>
      <x:c r="E21" s="25" t="str">
        <x:v>Centro</x:v>
      </x:c>
      <x:c r="F21" s="25" t="str">
        <x:v>Hidráulica leve</x:v>
      </x:c>
      <x:c r="G21" s="25" t="str">
        <x:v>EQ020</x:v>
      </x:c>
      <x:c r="H21" s="25" t="str"/>
      <x:c r="I21" s="34" t="b">
        <x:v>1</x:v>
      </x:c>
      <x:c r="J21" s="35" t="str">
        <x:v>Concluída</x:v>
      </x:c>
      <x:c r="K21" s="35" t="n">
        <x:v>1</x:v>
      </x:c>
      <x:c r="L21" s="35" t="n">
        <x:f>IF(J21="Concluída",1,0)</x:f>
        <x:v>1</x:v>
      </x:c>
      <x:c r="M21" s="35" t="n">
        <x:f>IF(AND(G21&lt;&gt;"",H21&lt;&gt;"",I21=TRUE),1,0)</x:f>
        <x:v>0</x:v>
      </x:c>
      <x:c r="N21" s="35" t="n">
        <x:v>0</x:v>
      </x:c>
      <x:c r="O21" s="39" t="str"/>
      <x:c r="P21" s="25" t="str">
        <x:v>TEC06</x:v>
      </x:c>
    </x:row>
    <x:row r="22">
      <x:c r="A22" s="25" t="str">
        <x:v>OS0021</x:v>
      </x:c>
      <x:c r="B22" s="25" t="str">
        <x:v>CL021</x:v>
      </x:c>
      <x:c r="C22" s="30" t="n">
        <x:v>46161.5</x:v>
      </x:c>
      <x:c r="D22" s="30" t="n">
        <x:v>46163.5</x:v>
      </x:c>
      <x:c r="E22" s="25" t="str">
        <x:v>Norte</x:v>
      </x:c>
      <x:c r="F22" s="25" t="str">
        <x:v>Elétrica leve</x:v>
      </x:c>
      <x:c r="G22" s="25" t="str">
        <x:v>EQ021</x:v>
      </x:c>
      <x:c r="H22" s="25" t="str">
        <x:v>Oscilação</x:v>
      </x:c>
      <x:c r="I22" s="34" t="b">
        <x:v>0</x:v>
      </x:c>
      <x:c r="J22" s="35" t="str">
        <x:v>Concluída</x:v>
      </x:c>
      <x:c r="K22" s="35" t="n">
        <x:v>1</x:v>
      </x:c>
      <x:c r="L22" s="35" t="n">
        <x:f>IF(J22="Concluída",1,0)</x:f>
        <x:v>1</x:v>
      </x:c>
      <x:c r="M22" s="35" t="n">
        <x:f>IF(AND(G22&lt;&gt;"",H22&lt;&gt;"",I22=TRUE),1,0)</x:f>
        <x:v>0</x:v>
      </x:c>
      <x:c r="N22" s="35" t="n">
        <x:v>0</x:v>
      </x:c>
      <x:c r="O22" s="39" t="str"/>
      <x:c r="P22" s="25" t="str">
        <x:v>TEC07</x:v>
      </x:c>
    </x:row>
    <x:row r="23">
      <x:c r="A23" s="25" t="str">
        <x:v>OS0022</x:v>
      </x:c>
      <x:c r="B23" s="25" t="str">
        <x:v>CL022</x:v>
      </x:c>
      <x:c r="C23" s="30" t="n">
        <x:v>46162.541666666664</x:v>
      </x:c>
      <x:c r="D23" s="30" t="n">
        <x:v>46164.541666666664</x:v>
      </x:c>
      <x:c r="E23" s="25" t="str">
        <x:v>Sul</x:v>
      </x:c>
      <x:c r="F23" s="25" t="str">
        <x:v>Climatização</x:v>
      </x:c>
      <x:c r="G23" s="25" t="str"/>
      <x:c r="H23" s="25" t="str">
        <x:v>Baixa eficiência</x:v>
      </x:c>
      <x:c r="I23" s="34" t="b">
        <x:v>1</x:v>
      </x:c>
      <x:c r="J23" s="35" t="str">
        <x:v>Concluída</x:v>
      </x:c>
      <x:c r="K23" s="35" t="n">
        <x:v>1</x:v>
      </x:c>
      <x:c r="L23" s="35" t="n">
        <x:f>IF(J23="Concluída",1,0)</x:f>
        <x:v>1</x:v>
      </x:c>
      <x:c r="M23" s="35" t="n">
        <x:f>IF(AND(G23&lt;&gt;"",H23&lt;&gt;"",I23=TRUE),1,0)</x:f>
        <x:v>0</x:v>
      </x:c>
      <x:c r="N23" s="35" t="n">
        <x:v>0</x:v>
      </x:c>
      <x:c r="O23" s="39" t="str"/>
      <x:c r="P23" s="25" t="str">
        <x:v>TEC01</x:v>
      </x:c>
    </x:row>
    <x:row r="24">
      <x:c r="A24" s="25" t="str">
        <x:v>OS0023</x:v>
      </x:c>
      <x:c r="B24" s="25" t="str">
        <x:v>CL023</x:v>
      </x:c>
      <x:c r="C24" s="30" t="n">
        <x:v>46163.583333333336</x:v>
      </x:c>
      <x:c r="D24" s="30" t="n">
        <x:v>46165.583333333336</x:v>
      </x:c>
      <x:c r="E24" s="25" t="str">
        <x:v>Leste</x:v>
      </x:c>
      <x:c r="F24" s="25" t="str">
        <x:v>Refrigeração</x:v>
      </x:c>
      <x:c r="G24" s="25" t="str">
        <x:v>EQ023</x:v>
      </x:c>
      <x:c r="H24" s="25" t="str">
        <x:v>Vazamento</x:v>
      </x:c>
      <x:c r="I24" s="34" t="b">
        <x:v>1</x:v>
      </x:c>
      <x:c r="J24" s="35" t="str">
        <x:v>Concluída</x:v>
      </x:c>
      <x:c r="K24" s="35" t="n">
        <x:v>1</x:v>
      </x:c>
      <x:c r="L24" s="35" t="n">
        <x:f>IF(J24="Concluída",1,0)</x:f>
        <x:v>1</x:v>
      </x:c>
      <x:c r="M24" s="35" t="n">
        <x:f>IF(AND(G24&lt;&gt;"",H24&lt;&gt;"",I24=TRUE),1,0)</x:f>
        <x:v>1</x:v>
      </x:c>
      <x:c r="N24" s="35" t="n">
        <x:v>0</x:v>
      </x:c>
      <x:c r="O24" s="39" t="str"/>
      <x:c r="P24" s="25" t="str">
        <x:v>TEC02</x:v>
      </x:c>
    </x:row>
    <x:row r="25">
      <x:c r="A25" s="25" t="str">
        <x:v>OS0024</x:v>
      </x:c>
      <x:c r="B25" s="25" t="str">
        <x:v>CL024</x:v>
      </x:c>
      <x:c r="C25" s="30" t="n">
        <x:v>46164.625</x:v>
      </x:c>
      <x:c r="D25" s="30" t="n">
        <x:v>46166.625</x:v>
      </x:c>
      <x:c r="E25" s="25" t="str">
        <x:v>Oeste</x:v>
      </x:c>
      <x:c r="F25" s="25" t="str">
        <x:v>Hidráulica leve</x:v>
      </x:c>
      <x:c r="G25" s="25" t="str">
        <x:v>EQ024</x:v>
      </x:c>
      <x:c r="H25" s="25" t="str">
        <x:v>Falha intermitente</x:v>
      </x:c>
      <x:c r="I25" s="34" t="b">
        <x:v>1</x:v>
      </x:c>
      <x:c r="J25" s="35" t="str">
        <x:v>Concluída</x:v>
      </x:c>
      <x:c r="K25" s="35" t="n">
        <x:v>1</x:v>
      </x:c>
      <x:c r="L25" s="35" t="n">
        <x:f>IF(J25="Concluída",1,0)</x:f>
        <x:v>1</x:v>
      </x:c>
      <x:c r="M25" s="35" t="n">
        <x:f>IF(AND(G25&lt;&gt;"",H25&lt;&gt;"",I25=TRUE),1,0)</x:f>
        <x:v>1</x:v>
      </x:c>
      <x:c r="N25" s="35" t="n">
        <x:v>0</x:v>
      </x:c>
      <x:c r="O25" s="39" t="str"/>
      <x:c r="P25" s="25" t="str">
        <x:v>TEC03</x:v>
      </x:c>
    </x:row>
    <x:row r="26">
      <x:c r="A26" s="25" t="str">
        <x:v>OS0025</x:v>
      </x:c>
      <x:c r="B26" s="25" t="str">
        <x:v>CL025</x:v>
      </x:c>
      <x:c r="C26" s="30" t="n">
        <x:v>46165.333333333336</x:v>
      </x:c>
      <x:c r="D26" s="30" t="n">
        <x:v>46167.333333333336</x:v>
      </x:c>
      <x:c r="E26" s="25" t="str">
        <x:v>Centro</x:v>
      </x:c>
      <x:c r="F26" s="25" t="str">
        <x:v>Elétrica leve</x:v>
      </x:c>
      <x:c r="G26" s="25" t="str">
        <x:v>EQ025</x:v>
      </x:c>
      <x:c r="H26" s="25" t="str">
        <x:v>Oscilação</x:v>
      </x:c>
      <x:c r="I26" s="34" t="b">
        <x:v>1</x:v>
      </x:c>
      <x:c r="J26" s="35" t="str">
        <x:v>Concluída</x:v>
      </x:c>
      <x:c r="K26" s="35" t="n">
        <x:v>1</x:v>
      </x:c>
      <x:c r="L26" s="35" t="n">
        <x:f>IF(J26="Concluída",1,0)</x:f>
        <x:v>1</x:v>
      </x:c>
      <x:c r="M26" s="35" t="n">
        <x:f>IF(AND(G26&lt;&gt;"",H26&lt;&gt;"",I26=TRUE),1,0)</x:f>
        <x:v>1</x:v>
      </x:c>
      <x:c r="N26" s="35" t="n">
        <x:v>0</x:v>
      </x:c>
      <x:c r="O26" s="39" t="str"/>
      <x:c r="P26" s="25" t="str">
        <x:v>TEC04</x:v>
      </x:c>
    </x:row>
    <x:row r="27">
      <x:c r="A27" s="25" t="str">
        <x:v>OS0026</x:v>
      </x:c>
      <x:c r="B27" s="25" t="str">
        <x:v>CL026</x:v>
      </x:c>
      <x:c r="C27" s="30" t="n">
        <x:v>46166.375</x:v>
      </x:c>
      <x:c r="D27" s="30" t="n">
        <x:v>46168.375</x:v>
      </x:c>
      <x:c r="E27" s="25" t="str">
        <x:v>Norte</x:v>
      </x:c>
      <x:c r="F27" s="25" t="str">
        <x:v>Climatização</x:v>
      </x:c>
      <x:c r="G27" s="25" t="str">
        <x:v>EQ026</x:v>
      </x:c>
      <x:c r="H27" s="25" t="str">
        <x:v>Baixa eficiência</x:v>
      </x:c>
      <x:c r="I27" s="34" t="b">
        <x:v>1</x:v>
      </x:c>
      <x:c r="J27" s="35" t="str">
        <x:v>Concluída</x:v>
      </x:c>
      <x:c r="K27" s="35" t="n">
        <x:v>1</x:v>
      </x:c>
      <x:c r="L27" s="35" t="n">
        <x:f>IF(J27="Concluída",1,0)</x:f>
        <x:v>1</x:v>
      </x:c>
      <x:c r="M27" s="35" t="n">
        <x:f>IF(AND(G27&lt;&gt;"",H27&lt;&gt;"",I27=TRUE),1,0)</x:f>
        <x:v>1</x:v>
      </x:c>
      <x:c r="N27" s="35" t="n">
        <x:v>0</x:v>
      </x:c>
      <x:c r="O27" s="39" t="str"/>
      <x:c r="P27" s="25" t="str">
        <x:v>TEC05</x:v>
      </x:c>
    </x:row>
    <x:row r="28">
      <x:c r="A28" s="25" t="str">
        <x:v>OS0027</x:v>
      </x:c>
      <x:c r="B28" s="25" t="str">
        <x:v>CL027</x:v>
      </x:c>
      <x:c r="C28" s="30" t="n">
        <x:v>46167.416666666664</x:v>
      </x:c>
      <x:c r="D28" s="30" t="n">
        <x:v>46169.416666666664</x:v>
      </x:c>
      <x:c r="E28" s="25" t="str">
        <x:v>Sul</x:v>
      </x:c>
      <x:c r="F28" s="25" t="str">
        <x:v>Refrigeração</x:v>
      </x:c>
      <x:c r="G28" s="25" t="str">
        <x:v>EQ027</x:v>
      </x:c>
      <x:c r="H28" s="25" t="str">
        <x:v>Vazamento</x:v>
      </x:c>
      <x:c r="I28" s="34" t="b">
        <x:v>1</x:v>
      </x:c>
      <x:c r="J28" s="35" t="str">
        <x:v>Concluída</x:v>
      </x:c>
      <x:c r="K28" s="35" t="n">
        <x:v>1</x:v>
      </x:c>
      <x:c r="L28" s="35" t="n">
        <x:f>IF(J28="Concluída",1,0)</x:f>
        <x:v>1</x:v>
      </x:c>
      <x:c r="M28" s="35" t="n">
        <x:f>IF(AND(G28&lt;&gt;"",H28&lt;&gt;"",I28=TRUE),1,0)</x:f>
        <x:v>1</x:v>
      </x:c>
      <x:c r="N28" s="35" t="n">
        <x:v>0</x:v>
      </x:c>
      <x:c r="O28" s="39" t="str"/>
      <x:c r="P28" s="25" t="str">
        <x:v>TEC06</x:v>
      </x:c>
    </x:row>
    <x:row r="29">
      <x:c r="A29" s="25" t="str">
        <x:v>OS0028</x:v>
      </x:c>
      <x:c r="B29" s="25" t="str">
        <x:v>CL028</x:v>
      </x:c>
      <x:c r="C29" s="30" t="n">
        <x:v>46168.458333333336</x:v>
      </x:c>
      <x:c r="D29" s="30" t="n">
        <x:v>46170.458333333336</x:v>
      </x:c>
      <x:c r="E29" s="25" t="str">
        <x:v>Leste</x:v>
      </x:c>
      <x:c r="F29" s="25" t="str">
        <x:v>Hidráulica leve</x:v>
      </x:c>
      <x:c r="G29" s="25" t="str">
        <x:v>EQ028</x:v>
      </x:c>
      <x:c r="H29" s="25" t="str">
        <x:v>Falha intermitente</x:v>
      </x:c>
      <x:c r="I29" s="34" t="b">
        <x:v>1</x:v>
      </x:c>
      <x:c r="J29" s="35" t="str">
        <x:v>Concluída</x:v>
      </x:c>
      <x:c r="K29" s="35" t="n">
        <x:v>1</x:v>
      </x:c>
      <x:c r="L29" s="35" t="n">
        <x:f>IF(J29="Concluída",1,0)</x:f>
        <x:v>1</x:v>
      </x:c>
      <x:c r="M29" s="35" t="n">
        <x:f>IF(AND(G29&lt;&gt;"",H29&lt;&gt;"",I29=TRUE),1,0)</x:f>
        <x:v>1</x:v>
      </x:c>
      <x:c r="N29" s="35" t="n">
        <x:v>1</x:v>
      </x:c>
      <x:c r="O29" s="39" t="str">
        <x:v>Informação ou peça confirmada somente após a visita inicial.</x:v>
      </x:c>
      <x:c r="P29" s="25" t="str">
        <x:v>TEC07</x:v>
      </x:c>
    </x:row>
    <x:row r="30">
      <x:c r="A30" s="25" t="str">
        <x:v>OS0029</x:v>
      </x:c>
      <x:c r="B30" s="25" t="str">
        <x:v>CL029</x:v>
      </x:c>
      <x:c r="C30" s="30" t="n">
        <x:v>46143.25</x:v>
      </x:c>
      <x:c r="D30" s="30" t="n">
        <x:v>46143.5</x:v>
      </x:c>
      <x:c r="E30" s="25" t="str">
        <x:v>Oeste</x:v>
      </x:c>
      <x:c r="F30" s="25" t="str">
        <x:v>Elétrica leve</x:v>
      </x:c>
      <x:c r="G30" s="25" t="str">
        <x:v>EQ029</x:v>
      </x:c>
      <x:c r="H30" s="25" t="str">
        <x:v>Oscilação</x:v>
      </x:c>
      <x:c r="I30" s="34" t="b">
        <x:v>1</x:v>
      </x:c>
      <x:c r="J30" s="35" t="str">
        <x:v>Concluída</x:v>
      </x:c>
      <x:c r="K30" s="35" t="n">
        <x:v>1</x:v>
      </x:c>
      <x:c r="L30" s="35" t="n">
        <x:f>IF(J30="Concluída",1,0)</x:f>
        <x:v>1</x:v>
      </x:c>
      <x:c r="M30" s="35" t="n">
        <x:f>IF(AND(G30&lt;&gt;"",H30&lt;&gt;"",I30=TRUE),1,0)</x:f>
        <x:v>1</x:v>
      </x:c>
      <x:c r="N30" s="35" t="n">
        <x:v>1</x:v>
      </x:c>
      <x:c r="O30" s="39" t="str">
        <x:v>Informação ou peça confirmada somente após a visita inicial.</x:v>
      </x:c>
      <x:c r="P30" s="25" t="str">
        <x:v>TEC01</x:v>
      </x:c>
    </x:row>
    <x:row r="31">
      <x:c r="A31" s="25" t="str">
        <x:v>OS0030</x:v>
      </x:c>
      <x:c r="B31" s="25" t="str">
        <x:v>CL030</x:v>
      </x:c>
      <x:c r="C31" s="30" t="n">
        <x:v>46143.25</x:v>
      </x:c>
      <x:c r="D31" s="30" t="n">
        <x:v>46144.541666666664</x:v>
      </x:c>
      <x:c r="E31" s="25" t="str">
        <x:v>Centro</x:v>
      </x:c>
      <x:c r="F31" s="25" t="str">
        <x:v>Climatização</x:v>
      </x:c>
      <x:c r="G31" s="25" t="str">
        <x:v>EQ030</x:v>
      </x:c>
      <x:c r="H31" s="25" t="str">
        <x:v>Baixa eficiência</x:v>
      </x:c>
      <x:c r="I31" s="34" t="b">
        <x:v>1</x:v>
      </x:c>
      <x:c r="J31" s="35" t="str">
        <x:v>Concluída</x:v>
      </x:c>
      <x:c r="K31" s="35" t="n">
        <x:v>1</x:v>
      </x:c>
      <x:c r="L31" s="35" t="n">
        <x:f>IF(J31="Concluída",1,0)</x:f>
        <x:v>1</x:v>
      </x:c>
      <x:c r="M31" s="35" t="n">
        <x:f>IF(AND(G31&lt;&gt;"",H31&lt;&gt;"",I31=TRUE),1,0)</x:f>
        <x:v>1</x:v>
      </x:c>
      <x:c r="N31" s="35" t="n">
        <x:v>1</x:v>
      </x:c>
      <x:c r="O31" s="39" t="str">
        <x:v>Informação ou peça confirmada somente após a visita inicial.</x:v>
      </x:c>
      <x:c r="P31" s="25" t="str">
        <x:v>TEC02</x:v>
      </x:c>
    </x:row>
    <x:row r="32">
      <x:c r="A32" s="25" t="str">
        <x:v>OS0031</x:v>
      </x:c>
      <x:c r="B32" s="25" t="str">
        <x:v>CL031</x:v>
      </x:c>
      <x:c r="C32" s="30" t="n">
        <x:v>46143.583333333336</x:v>
      </x:c>
      <x:c r="D32" s="30" t="n">
        <x:v>46145.583333333336</x:v>
      </x:c>
      <x:c r="E32" s="25" t="str">
        <x:v>Norte</x:v>
      </x:c>
      <x:c r="F32" s="25" t="str">
        <x:v>Refrigeração</x:v>
      </x:c>
      <x:c r="G32" s="25" t="str">
        <x:v>EQ031</x:v>
      </x:c>
      <x:c r="H32" s="25" t="str">
        <x:v>Vazamento</x:v>
      </x:c>
      <x:c r="I32" s="34" t="b">
        <x:v>1</x:v>
      </x:c>
      <x:c r="J32" s="35" t="str">
        <x:v>Concluída</x:v>
      </x:c>
      <x:c r="K32" s="35" t="n">
        <x:v>1</x:v>
      </x:c>
      <x:c r="L32" s="35" t="n">
        <x:f>IF(J32="Concluída",1,0)</x:f>
        <x:v>1</x:v>
      </x:c>
      <x:c r="M32" s="35" t="n">
        <x:f>IF(AND(G32&lt;&gt;"",H32&lt;&gt;"",I32=TRUE),1,0)</x:f>
        <x:v>1</x:v>
      </x:c>
      <x:c r="N32" s="35" t="n">
        <x:v>1</x:v>
      </x:c>
      <x:c r="O32" s="39" t="str">
        <x:v>Informação ou peça confirmada somente após a visita inicial.</x:v>
      </x:c>
      <x:c r="P32" s="25" t="str">
        <x:v>TEC03</x:v>
      </x:c>
    </x:row>
    <x:row r="33">
      <x:c r="A33" s="25" t="str">
        <x:v>OS0032</x:v>
      </x:c>
      <x:c r="B33" s="25" t="str">
        <x:v>CL032</x:v>
      </x:c>
      <x:c r="C33" s="30" t="n">
        <x:v>46144.625</x:v>
      </x:c>
      <x:c r="D33" s="30" t="n">
        <x:v>46146.625</x:v>
      </x:c>
      <x:c r="E33" s="25" t="str">
        <x:v>Sul</x:v>
      </x:c>
      <x:c r="F33" s="25" t="str">
        <x:v>Hidráulica leve</x:v>
      </x:c>
      <x:c r="G33" s="25" t="str">
        <x:v>EQ032</x:v>
      </x:c>
      <x:c r="H33" s="25" t="str">
        <x:v>Falha intermitente</x:v>
      </x:c>
      <x:c r="I33" s="34" t="b">
        <x:v>1</x:v>
      </x:c>
      <x:c r="J33" s="35" t="str">
        <x:v>Concluída</x:v>
      </x:c>
      <x:c r="K33" s="35" t="n">
        <x:v>1</x:v>
      </x:c>
      <x:c r="L33" s="35" t="n">
        <x:f>IF(J33="Concluída",1,0)</x:f>
        <x:v>1</x:v>
      </x:c>
      <x:c r="M33" s="35" t="n">
        <x:f>IF(AND(G33&lt;&gt;"",H33&lt;&gt;"",I33=TRUE),1,0)</x:f>
        <x:v>1</x:v>
      </x:c>
      <x:c r="N33" s="35" t="n">
        <x:v>1</x:v>
      </x:c>
      <x:c r="O33" s="39" t="str">
        <x:v>Informação ou peça confirmada somente após a visita inicial.</x:v>
      </x:c>
      <x:c r="P33" s="25" t="str">
        <x:v>TEC04</x:v>
      </x:c>
    </x:row>
    <x:row r="34">
      <x:c r="A34" s="25" t="str">
        <x:v>OS0033</x:v>
      </x:c>
      <x:c r="B34" s="25" t="str">
        <x:v>CL033</x:v>
      </x:c>
      <x:c r="C34" s="30" t="n">
        <x:v>46145.333333333336</x:v>
      </x:c>
      <x:c r="D34" s="30" t="n">
        <x:v>46147.333333333336</x:v>
      </x:c>
      <x:c r="E34" s="25" t="str">
        <x:v>Leste</x:v>
      </x:c>
      <x:c r="F34" s="25" t="str">
        <x:v>Elétrica leve</x:v>
      </x:c>
      <x:c r="G34" s="25" t="str">
        <x:v>EQ033</x:v>
      </x:c>
      <x:c r="H34" s="25" t="str">
        <x:v>Oscilação</x:v>
      </x:c>
      <x:c r="I34" s="34" t="b">
        <x:v>1</x:v>
      </x:c>
      <x:c r="J34" s="35" t="str">
        <x:v>Concluída</x:v>
      </x:c>
      <x:c r="K34" s="35" t="n">
        <x:v>1</x:v>
      </x:c>
      <x:c r="L34" s="35" t="n">
        <x:f>IF(J34="Concluída",1,0)</x:f>
        <x:v>1</x:v>
      </x:c>
      <x:c r="M34" s="35" t="n">
        <x:f>IF(AND(G34&lt;&gt;"",H34&lt;&gt;"",I34=TRUE),1,0)</x:f>
        <x:v>1</x:v>
      </x:c>
      <x:c r="N34" s="35" t="n">
        <x:v>0</x:v>
      </x:c>
      <x:c r="O34" s="39" t="str"/>
      <x:c r="P34" s="25" t="str">
        <x:v>TEC05</x:v>
      </x:c>
    </x:row>
    <x:row r="35">
      <x:c r="A35" s="25" t="str">
        <x:v>OS0034</x:v>
      </x:c>
      <x:c r="B35" s="25" t="str">
        <x:v>CL034</x:v>
      </x:c>
      <x:c r="C35" s="30" t="n">
        <x:v>46146.375</x:v>
      </x:c>
      <x:c r="D35" s="30" t="n">
        <x:v>46148.375</x:v>
      </x:c>
      <x:c r="E35" s="25" t="str">
        <x:v>Oeste</x:v>
      </x:c>
      <x:c r="F35" s="25" t="str">
        <x:v>Climatização</x:v>
      </x:c>
      <x:c r="G35" s="25" t="str">
        <x:v>EQ034</x:v>
      </x:c>
      <x:c r="H35" s="25" t="str">
        <x:v>Baixa eficiência</x:v>
      </x:c>
      <x:c r="I35" s="34" t="b">
        <x:v>1</x:v>
      </x:c>
      <x:c r="J35" s="35" t="str">
        <x:v>Concluída</x:v>
      </x:c>
      <x:c r="K35" s="35" t="n">
        <x:v>1</x:v>
      </x:c>
      <x:c r="L35" s="35" t="n">
        <x:f>IF(J35="Concluída",1,0)</x:f>
        <x:v>1</x:v>
      </x:c>
      <x:c r="M35" s="35" t="n">
        <x:f>IF(AND(G35&lt;&gt;"",H35&lt;&gt;"",I35=TRUE),1,0)</x:f>
        <x:v>1</x:v>
      </x:c>
      <x:c r="N35" s="35" t="n">
        <x:v>0</x:v>
      </x:c>
      <x:c r="O35" s="39" t="str"/>
      <x:c r="P35" s="25" t="str">
        <x:v>TEC06</x:v>
      </x:c>
    </x:row>
    <x:row r="36">
      <x:c r="A36" s="25" t="str">
        <x:v>OS0035</x:v>
      </x:c>
      <x:c r="B36" s="25" t="str">
        <x:v>CL035</x:v>
      </x:c>
      <x:c r="C36" s="30" t="n">
        <x:v>46147.416666666664</x:v>
      </x:c>
      <x:c r="D36" s="30" t="n">
        <x:v>46149.416666666664</x:v>
      </x:c>
      <x:c r="E36" s="25" t="str">
        <x:v>Centro</x:v>
      </x:c>
      <x:c r="F36" s="25" t="str">
        <x:v>Refrigeração</x:v>
      </x:c>
      <x:c r="G36" s="25" t="str">
        <x:v>EQ035</x:v>
      </x:c>
      <x:c r="H36" s="25" t="str">
        <x:v>Vazamento</x:v>
      </x:c>
      <x:c r="I36" s="34" t="b">
        <x:v>1</x:v>
      </x:c>
      <x:c r="J36" s="35" t="str">
        <x:v>Concluída</x:v>
      </x:c>
      <x:c r="K36" s="35" t="n">
        <x:v>1</x:v>
      </x:c>
      <x:c r="L36" s="35" t="n">
        <x:f>IF(J36="Concluída",1,0)</x:f>
        <x:v>1</x:v>
      </x:c>
      <x:c r="M36" s="35" t="n">
        <x:f>IF(AND(G36&lt;&gt;"",H36&lt;&gt;"",I36=TRUE),1,0)</x:f>
        <x:v>1</x:v>
      </x:c>
      <x:c r="N36" s="35" t="n">
        <x:v>0</x:v>
      </x:c>
      <x:c r="O36" s="39" t="str"/>
      <x:c r="P36" s="25" t="str">
        <x:v>TEC07</x:v>
      </x:c>
    </x:row>
    <x:row r="37">
      <x:c r="A37" s="25" t="str">
        <x:v>OS0036</x:v>
      </x:c>
      <x:c r="B37" s="25" t="str">
        <x:v>CL036</x:v>
      </x:c>
      <x:c r="C37" s="30" t="n">
        <x:v>46148.458333333336</x:v>
      </x:c>
      <x:c r="D37" s="30" t="n">
        <x:v>46150.458333333336</x:v>
      </x:c>
      <x:c r="E37" s="25" t="str">
        <x:v>Norte</x:v>
      </x:c>
      <x:c r="F37" s="25" t="str">
        <x:v>Hidráulica leve</x:v>
      </x:c>
      <x:c r="G37" s="25" t="str">
        <x:v>EQ036</x:v>
      </x:c>
      <x:c r="H37" s="25" t="str">
        <x:v>Falha intermitente</x:v>
      </x:c>
      <x:c r="I37" s="34" t="b">
        <x:v>1</x:v>
      </x:c>
      <x:c r="J37" s="35" t="str">
        <x:v>Concluída</x:v>
      </x:c>
      <x:c r="K37" s="35" t="n">
        <x:v>1</x:v>
      </x:c>
      <x:c r="L37" s="35" t="n">
        <x:f>IF(J37="Concluída",1,0)</x:f>
        <x:v>1</x:v>
      </x:c>
      <x:c r="M37" s="35" t="n">
        <x:f>IF(AND(G37&lt;&gt;"",H37&lt;&gt;"",I37=TRUE),1,0)</x:f>
        <x:v>1</x:v>
      </x:c>
      <x:c r="N37" s="35" t="n">
        <x:v>0</x:v>
      </x:c>
      <x:c r="O37" s="39" t="str"/>
      <x:c r="P37" s="25" t="str">
        <x:v>TEC01</x:v>
      </x:c>
    </x:row>
    <x:row r="38">
      <x:c r="A38" s="25" t="str">
        <x:v>OS0037</x:v>
      </x:c>
      <x:c r="B38" s="25" t="str">
        <x:v>CL037</x:v>
      </x:c>
      <x:c r="C38" s="30" t="n">
        <x:v>46149.5</x:v>
      </x:c>
      <x:c r="D38" s="30" t="n">
        <x:v>46151.5</x:v>
      </x:c>
      <x:c r="E38" s="25" t="str">
        <x:v>Sul</x:v>
      </x:c>
      <x:c r="F38" s="25" t="str">
        <x:v>Elétrica leve</x:v>
      </x:c>
      <x:c r="G38" s="25" t="str">
        <x:v>EQ037</x:v>
      </x:c>
      <x:c r="H38" s="25" t="str">
        <x:v>Oscilação</x:v>
      </x:c>
      <x:c r="I38" s="34" t="b">
        <x:v>1</x:v>
      </x:c>
      <x:c r="J38" s="35" t="str">
        <x:v>Concluída</x:v>
      </x:c>
      <x:c r="K38" s="35" t="n">
        <x:v>1</x:v>
      </x:c>
      <x:c r="L38" s="35" t="n">
        <x:f>IF(J38="Concluída",1,0)</x:f>
        <x:v>1</x:v>
      </x:c>
      <x:c r="M38" s="35" t="n">
        <x:f>IF(AND(G38&lt;&gt;"",H38&lt;&gt;"",I38=TRUE),1,0)</x:f>
        <x:v>1</x:v>
      </x:c>
      <x:c r="N38" s="35" t="n">
        <x:v>0</x:v>
      </x:c>
      <x:c r="O38" s="39" t="str"/>
      <x:c r="P38" s="25" t="str">
        <x:v>TEC02</x:v>
      </x:c>
    </x:row>
    <x:row r="39">
      <x:c r="A39" s="25" t="str">
        <x:v>OS0038</x:v>
      </x:c>
      <x:c r="B39" s="25" t="str">
        <x:v>CL038</x:v>
      </x:c>
      <x:c r="C39" s="30" t="n">
        <x:v>46150.541666666664</x:v>
      </x:c>
      <x:c r="D39" s="30" t="n">
        <x:v>46152.541666666664</x:v>
      </x:c>
      <x:c r="E39" s="25" t="str">
        <x:v>Leste</x:v>
      </x:c>
      <x:c r="F39" s="25" t="str">
        <x:v>Climatização</x:v>
      </x:c>
      <x:c r="G39" s="25" t="str">
        <x:v>EQ038</x:v>
      </x:c>
      <x:c r="H39" s="25" t="str">
        <x:v>Baixa eficiência</x:v>
      </x:c>
      <x:c r="I39" s="34" t="b">
        <x:v>1</x:v>
      </x:c>
      <x:c r="J39" s="35" t="str">
        <x:v>Concluída</x:v>
      </x:c>
      <x:c r="K39" s="35" t="n">
        <x:v>1</x:v>
      </x:c>
      <x:c r="L39" s="35" t="n">
        <x:f>IF(J39="Concluída",1,0)</x:f>
        <x:v>1</x:v>
      </x:c>
      <x:c r="M39" s="35" t="n">
        <x:f>IF(AND(G39&lt;&gt;"",H39&lt;&gt;"",I39=TRUE),1,0)</x:f>
        <x:v>1</x:v>
      </x:c>
      <x:c r="N39" s="35" t="n">
        <x:v>0</x:v>
      </x:c>
      <x:c r="O39" s="39" t="str"/>
      <x:c r="P39" s="25" t="str">
        <x:v>TEC03</x:v>
      </x:c>
    </x:row>
    <x:row r="40">
      <x:c r="A40" s="25" t="str">
        <x:v>OS0039</x:v>
      </x:c>
      <x:c r="B40" s="25" t="str">
        <x:v>CL039</x:v>
      </x:c>
      <x:c r="C40" s="30" t="n">
        <x:v>46151.583333333336</x:v>
      </x:c>
      <x:c r="D40" s="30" t="n">
        <x:v>46153.583333333336</x:v>
      </x:c>
      <x:c r="E40" s="25" t="str">
        <x:v>Oeste</x:v>
      </x:c>
      <x:c r="F40" s="25" t="str">
        <x:v>Refrigeração</x:v>
      </x:c>
      <x:c r="G40" s="25" t="str">
        <x:v>EQ039</x:v>
      </x:c>
      <x:c r="H40" s="25" t="str">
        <x:v>Vazamento</x:v>
      </x:c>
      <x:c r="I40" s="34" t="b">
        <x:v>1</x:v>
      </x:c>
      <x:c r="J40" s="35" t="str">
        <x:v>Concluída</x:v>
      </x:c>
      <x:c r="K40" s="35" t="n">
        <x:v>1</x:v>
      </x:c>
      <x:c r="L40" s="35" t="n">
        <x:f>IF(J40="Concluída",1,0)</x:f>
        <x:v>1</x:v>
      </x:c>
      <x:c r="M40" s="35" t="n">
        <x:f>IF(AND(G40&lt;&gt;"",H40&lt;&gt;"",I40=TRUE),1,0)</x:f>
        <x:v>1</x:v>
      </x:c>
      <x:c r="N40" s="35" t="n">
        <x:v>0</x:v>
      </x:c>
      <x:c r="O40" s="39" t="str"/>
      <x:c r="P40" s="25" t="str">
        <x:v>TEC04</x:v>
      </x:c>
    </x:row>
    <x:row r="41">
      <x:c r="A41" s="25" t="str">
        <x:v>OS0040</x:v>
      </x:c>
      <x:c r="B41" s="25" t="str">
        <x:v>CL040</x:v>
      </x:c>
      <x:c r="C41" s="30" t="n">
        <x:v>46152.625</x:v>
      </x:c>
      <x:c r="D41" s="30" t="n">
        <x:v>46154.625</x:v>
      </x:c>
      <x:c r="E41" s="25" t="str">
        <x:v>Centro</x:v>
      </x:c>
      <x:c r="F41" s="25" t="str">
        <x:v>Hidráulica leve</x:v>
      </x:c>
      <x:c r="G41" s="25" t="str">
        <x:v>EQ040</x:v>
      </x:c>
      <x:c r="H41" s="25" t="str">
        <x:v>Falha intermitente</x:v>
      </x:c>
      <x:c r="I41" s="34" t="b">
        <x:v>1</x:v>
      </x:c>
      <x:c r="J41" s="35" t="str">
        <x:v>Concluída</x:v>
      </x:c>
      <x:c r="K41" s="35" t="n">
        <x:v>1</x:v>
      </x:c>
      <x:c r="L41" s="35" t="n">
        <x:f>IF(J41="Concluída",1,0)</x:f>
        <x:v>1</x:v>
      </x:c>
      <x:c r="M41" s="35" t="n">
        <x:f>IF(AND(G41&lt;&gt;"",H41&lt;&gt;"",I41=TRUE),1,0)</x:f>
        <x:v>1</x:v>
      </x:c>
      <x:c r="N41" s="35" t="n">
        <x:v>0</x:v>
      </x:c>
      <x:c r="O41" s="39" t="str"/>
      <x:c r="P41" s="25" t="str">
        <x:v>TEC05</x:v>
      </x:c>
    </x:row>
    <x:row r="42">
      <x:c r="A42" s="25" t="str">
        <x:v>OS0041</x:v>
      </x:c>
      <x:c r="B42" s="25" t="str">
        <x:v>CL041</x:v>
      </x:c>
      <x:c r="C42" s="30" t="n">
        <x:v>46153.333333333336</x:v>
      </x:c>
      <x:c r="D42" s="30" t="n">
        <x:v>46155.333333333336</x:v>
      </x:c>
      <x:c r="E42" s="25" t="str">
        <x:v>Norte</x:v>
      </x:c>
      <x:c r="F42" s="25" t="str">
        <x:v>Elétrica leve</x:v>
      </x:c>
      <x:c r="G42" s="25" t="str">
        <x:v>EQ041</x:v>
      </x:c>
      <x:c r="H42" s="25" t="str">
        <x:v>Oscilação</x:v>
      </x:c>
      <x:c r="I42" s="34" t="b">
        <x:v>1</x:v>
      </x:c>
      <x:c r="J42" s="35" t="str">
        <x:v>Concluída</x:v>
      </x:c>
      <x:c r="K42" s="35" t="n">
        <x:v>1</x:v>
      </x:c>
      <x:c r="L42" s="35" t="n">
        <x:f>IF(J42="Concluída",1,0)</x:f>
        <x:v>1</x:v>
      </x:c>
      <x:c r="M42" s="35" t="n">
        <x:f>IF(AND(G42&lt;&gt;"",H42&lt;&gt;"",I42=TRUE),1,0)</x:f>
        <x:v>1</x:v>
      </x:c>
      <x:c r="N42" s="35" t="n">
        <x:v>0</x:v>
      </x:c>
      <x:c r="O42" s="39" t="str"/>
      <x:c r="P42" s="25" t="str">
        <x:v>TEC06</x:v>
      </x:c>
    </x:row>
    <x:row r="43">
      <x:c r="A43" s="25" t="str">
        <x:v>OS0042</x:v>
      </x:c>
      <x:c r="B43" s="25" t="str">
        <x:v>CL042</x:v>
      </x:c>
      <x:c r="C43" s="30" t="n">
        <x:v>46154.375</x:v>
      </x:c>
      <x:c r="D43" s="30" t="n">
        <x:v>46156.375</x:v>
      </x:c>
      <x:c r="E43" s="25" t="str">
        <x:v>Sul</x:v>
      </x:c>
      <x:c r="F43" s="25" t="str">
        <x:v>Climatização</x:v>
      </x:c>
      <x:c r="G43" s="25" t="str">
        <x:v>EQ042</x:v>
      </x:c>
      <x:c r="H43" s="25" t="str">
        <x:v>Baixa eficiência</x:v>
      </x:c>
      <x:c r="I43" s="34" t="b">
        <x:v>1</x:v>
      </x:c>
      <x:c r="J43" s="35" t="str">
        <x:v>Concluída</x:v>
      </x:c>
      <x:c r="K43" s="35" t="n">
        <x:v>1</x:v>
      </x:c>
      <x:c r="L43" s="35" t="n">
        <x:f>IF(J43="Concluída",1,0)</x:f>
        <x:v>1</x:v>
      </x:c>
      <x:c r="M43" s="35" t="n">
        <x:f>IF(AND(G43&lt;&gt;"",H43&lt;&gt;"",I43=TRUE),1,0)</x:f>
        <x:v>1</x:v>
      </x:c>
      <x:c r="N43" s="35" t="n">
        <x:v>0</x:v>
      </x:c>
      <x:c r="O43" s="39" t="str"/>
      <x:c r="P43" s="25" t="str">
        <x:v>TEC07</x:v>
      </x:c>
    </x:row>
    <x:row r="44">
      <x:c r="A44" s="25" t="str">
        <x:v>OS0043</x:v>
      </x:c>
      <x:c r="B44" s="25" t="str">
        <x:v>CL043</x:v>
      </x:c>
      <x:c r="C44" s="30" t="n">
        <x:v>46155.416666666664</x:v>
      </x:c>
      <x:c r="D44" s="30" t="n">
        <x:v>46157.416666666664</x:v>
      </x:c>
      <x:c r="E44" s="25" t="str">
        <x:v>Leste</x:v>
      </x:c>
      <x:c r="F44" s="25" t="str">
        <x:v>Refrigeração</x:v>
      </x:c>
      <x:c r="G44" s="25" t="str">
        <x:v>EQ043</x:v>
      </x:c>
      <x:c r="H44" s="25" t="str">
        <x:v>Vazamento</x:v>
      </x:c>
      <x:c r="I44" s="34" t="b">
        <x:v>1</x:v>
      </x:c>
      <x:c r="J44" s="35" t="str">
        <x:v>Concluída</x:v>
      </x:c>
      <x:c r="K44" s="35" t="n">
        <x:v>1</x:v>
      </x:c>
      <x:c r="L44" s="35" t="n">
        <x:f>IF(J44="Concluída",1,0)</x:f>
        <x:v>1</x:v>
      </x:c>
      <x:c r="M44" s="35" t="n">
        <x:f>IF(AND(G44&lt;&gt;"",H44&lt;&gt;"",I44=TRUE),1,0)</x:f>
        <x:v>1</x:v>
      </x:c>
      <x:c r="N44" s="35" t="n">
        <x:v>0</x:v>
      </x:c>
      <x:c r="O44" s="39" t="str"/>
      <x:c r="P44" s="25" t="str">
        <x:v>TEC01</x:v>
      </x:c>
    </x:row>
    <x:row r="45">
      <x:c r="A45" s="25" t="str">
        <x:v>OS0044</x:v>
      </x:c>
      <x:c r="B45" s="25" t="str">
        <x:v>CL044</x:v>
      </x:c>
      <x:c r="C45" s="30" t="n">
        <x:v>46156.458333333336</x:v>
      </x:c>
      <x:c r="D45" s="30" t="n">
        <x:v>46158.458333333336</x:v>
      </x:c>
      <x:c r="E45" s="25" t="str">
        <x:v>Oeste</x:v>
      </x:c>
      <x:c r="F45" s="25" t="str">
        <x:v>Hidráulica leve</x:v>
      </x:c>
      <x:c r="G45" s="25" t="str">
        <x:v>EQ044</x:v>
      </x:c>
      <x:c r="H45" s="25" t="str">
        <x:v>Falha intermitente</x:v>
      </x:c>
      <x:c r="I45" s="34" t="b">
        <x:v>1</x:v>
      </x:c>
      <x:c r="J45" s="35" t="str">
        <x:v>Concluída</x:v>
      </x:c>
      <x:c r="K45" s="35" t="n">
        <x:v>1</x:v>
      </x:c>
      <x:c r="L45" s="35" t="n">
        <x:f>IF(J45="Concluída",1,0)</x:f>
        <x:v>1</x:v>
      </x:c>
      <x:c r="M45" s="35" t="n">
        <x:f>IF(AND(G45&lt;&gt;"",H45&lt;&gt;"",I45=TRUE),1,0)</x:f>
        <x:v>1</x:v>
      </x:c>
      <x:c r="N45" s="35" t="n">
        <x:v>0</x:v>
      </x:c>
      <x:c r="O45" s="39" t="str"/>
      <x:c r="P45" s="25" t="str">
        <x:v>TEC02</x:v>
      </x:c>
    </x:row>
    <x:row r="46">
      <x:c r="A46" s="25" t="str">
        <x:v>OS0045</x:v>
      </x:c>
      <x:c r="B46" s="25" t="str">
        <x:v>CL045</x:v>
      </x:c>
      <x:c r="C46" s="30" t="n">
        <x:v>46157.5</x:v>
      </x:c>
      <x:c r="D46" s="30" t="n">
        <x:v>46159.5</x:v>
      </x:c>
      <x:c r="E46" s="25" t="str">
        <x:v>Centro</x:v>
      </x:c>
      <x:c r="F46" s="25" t="str">
        <x:v>Elétrica leve</x:v>
      </x:c>
      <x:c r="G46" s="25" t="str">
        <x:v>EQ045</x:v>
      </x:c>
      <x:c r="H46" s="25" t="str">
        <x:v>Oscilação</x:v>
      </x:c>
      <x:c r="I46" s="34" t="b">
        <x:v>1</x:v>
      </x:c>
      <x:c r="J46" s="35" t="str">
        <x:v>Concluída</x:v>
      </x:c>
      <x:c r="K46" s="35" t="n">
        <x:v>1</x:v>
      </x:c>
      <x:c r="L46" s="35" t="n">
        <x:f>IF(J46="Concluída",1,0)</x:f>
        <x:v>1</x:v>
      </x:c>
      <x:c r="M46" s="35" t="n">
        <x:f>IF(AND(G46&lt;&gt;"",H46&lt;&gt;"",I46=TRUE),1,0)</x:f>
        <x:v>1</x:v>
      </x:c>
      <x:c r="N46" s="35" t="n">
        <x:v>0</x:v>
      </x:c>
      <x:c r="O46" s="39" t="str"/>
      <x:c r="P46" s="25" t="str">
        <x:v>TEC03</x:v>
      </x:c>
    </x:row>
    <x:row r="47">
      <x:c r="A47" s="25" t="str">
        <x:v>OS0046</x:v>
      </x:c>
      <x:c r="B47" s="25" t="str">
        <x:v>CL046</x:v>
      </x:c>
      <x:c r="C47" s="30" t="n">
        <x:v>46158.541666666664</x:v>
      </x:c>
      <x:c r="D47" s="30" t="n">
        <x:v>46160.541666666664</x:v>
      </x:c>
      <x:c r="E47" s="25" t="str">
        <x:v>Norte</x:v>
      </x:c>
      <x:c r="F47" s="25" t="str">
        <x:v>Climatização</x:v>
      </x:c>
      <x:c r="G47" s="25" t="str">
        <x:v>EQ046</x:v>
      </x:c>
      <x:c r="H47" s="25" t="str">
        <x:v>Baixa eficiência</x:v>
      </x:c>
      <x:c r="I47" s="34" t="b">
        <x:v>1</x:v>
      </x:c>
      <x:c r="J47" s="35" t="str">
        <x:v>Concluída</x:v>
      </x:c>
      <x:c r="K47" s="35" t="n">
        <x:v>1</x:v>
      </x:c>
      <x:c r="L47" s="35" t="n">
        <x:f>IF(J47="Concluída",1,0)</x:f>
        <x:v>1</x:v>
      </x:c>
      <x:c r="M47" s="35" t="n">
        <x:f>IF(AND(G47&lt;&gt;"",H47&lt;&gt;"",I47=TRUE),1,0)</x:f>
        <x:v>1</x:v>
      </x:c>
      <x:c r="N47" s="35" t="n">
        <x:v>0</x:v>
      </x:c>
      <x:c r="O47" s="39" t="str"/>
      <x:c r="P47" s="25" t="str">
        <x:v>TEC04</x:v>
      </x:c>
    </x:row>
    <x:row r="48">
      <x:c r="A48" s="25" t="str">
        <x:v>OS0047</x:v>
      </x:c>
      <x:c r="B48" s="25" t="str">
        <x:v>CL047</x:v>
      </x:c>
      <x:c r="C48" s="30" t="n">
        <x:v>46159.583333333336</x:v>
      </x:c>
      <x:c r="D48" s="30" t="n">
        <x:v>46161.583333333336</x:v>
      </x:c>
      <x:c r="E48" s="25" t="str">
        <x:v>Sul</x:v>
      </x:c>
      <x:c r="F48" s="25" t="str">
        <x:v>Refrigeração</x:v>
      </x:c>
      <x:c r="G48" s="25" t="str">
        <x:v>EQ047</x:v>
      </x:c>
      <x:c r="H48" s="25" t="str">
        <x:v>Vazamento</x:v>
      </x:c>
      <x:c r="I48" s="34" t="b">
        <x:v>1</x:v>
      </x:c>
      <x:c r="J48" s="35" t="str">
        <x:v>Concluída</x:v>
      </x:c>
      <x:c r="K48" s="35" t="n">
        <x:v>1</x:v>
      </x:c>
      <x:c r="L48" s="35" t="n">
        <x:f>IF(J48="Concluída",1,0)</x:f>
        <x:v>1</x:v>
      </x:c>
      <x:c r="M48" s="35" t="n">
        <x:f>IF(AND(G48&lt;&gt;"",H48&lt;&gt;"",I48=TRUE),1,0)</x:f>
        <x:v>1</x:v>
      </x:c>
      <x:c r="N48" s="35" t="n">
        <x:v>0</x:v>
      </x:c>
      <x:c r="O48" s="39" t="str"/>
      <x:c r="P48" s="25" t="str">
        <x:v>TEC05</x:v>
      </x:c>
    </x:row>
    <x:row r="49">
      <x:c r="A49" s="25" t="str">
        <x:v>OS0048</x:v>
      </x:c>
      <x:c r="B49" s="25" t="str">
        <x:v>CL048</x:v>
      </x:c>
      <x:c r="C49" s="30" t="n">
        <x:v>46160.625</x:v>
      </x:c>
      <x:c r="D49" s="30" t="n">
        <x:v>46162.625</x:v>
      </x:c>
      <x:c r="E49" s="25" t="str">
        <x:v>Leste</x:v>
      </x:c>
      <x:c r="F49" s="25" t="str">
        <x:v>Hidráulica leve</x:v>
      </x:c>
      <x:c r="G49" s="25" t="str">
        <x:v>EQ048</x:v>
      </x:c>
      <x:c r="H49" s="25" t="str">
        <x:v>Falha intermitente</x:v>
      </x:c>
      <x:c r="I49" s="34" t="b">
        <x:v>1</x:v>
      </x:c>
      <x:c r="J49" s="35" t="str">
        <x:v>Concluída</x:v>
      </x:c>
      <x:c r="K49" s="35" t="n">
        <x:v>1</x:v>
      </x:c>
      <x:c r="L49" s="35" t="n">
        <x:f>IF(J49="Concluída",1,0)</x:f>
        <x:v>1</x:v>
      </x:c>
      <x:c r="M49" s="35" t="n">
        <x:f>IF(AND(G49&lt;&gt;"",H49&lt;&gt;"",I49=TRUE),1,0)</x:f>
        <x:v>1</x:v>
      </x:c>
      <x:c r="N49" s="35" t="n">
        <x:v>0</x:v>
      </x:c>
      <x:c r="O49" s="39" t="str"/>
      <x:c r="P49" s="25" t="str">
        <x:v>TEC06</x:v>
      </x:c>
    </x:row>
    <x:row r="50">
      <x:c r="A50" s="25" t="str">
        <x:v>OS0049</x:v>
      </x:c>
      <x:c r="B50" s="25" t="str">
        <x:v>CL049</x:v>
      </x:c>
      <x:c r="C50" s="30" t="n">
        <x:v>46161.333333333336</x:v>
      </x:c>
      <x:c r="D50" s="30" t="n">
        <x:v>46163.333333333336</x:v>
      </x:c>
      <x:c r="E50" s="25" t="str">
        <x:v>Oeste</x:v>
      </x:c>
      <x:c r="F50" s="25" t="str">
        <x:v>Elétrica leve</x:v>
      </x:c>
      <x:c r="G50" s="25" t="str">
        <x:v>EQ049</x:v>
      </x:c>
      <x:c r="H50" s="25" t="str">
        <x:v>Oscilação</x:v>
      </x:c>
      <x:c r="I50" s="34" t="b">
        <x:v>1</x:v>
      </x:c>
      <x:c r="J50" s="35" t="str">
        <x:v>Concluída</x:v>
      </x:c>
      <x:c r="K50" s="35" t="n">
        <x:v>1</x:v>
      </x:c>
      <x:c r="L50" s="35" t="n">
        <x:f>IF(J50="Concluída",1,0)</x:f>
        <x:v>1</x:v>
      </x:c>
      <x:c r="M50" s="35" t="n">
        <x:f>IF(AND(G50&lt;&gt;"",H50&lt;&gt;"",I50=TRUE),1,0)</x:f>
        <x:v>1</x:v>
      </x:c>
      <x:c r="N50" s="35" t="n">
        <x:v>0</x:v>
      </x:c>
      <x:c r="O50" s="39" t="str"/>
      <x:c r="P50" s="25" t="str">
        <x:v>TEC07</x:v>
      </x:c>
    </x:row>
    <x:row r="51">
      <x:c r="A51" s="25" t="str">
        <x:v>OS0050</x:v>
      </x:c>
      <x:c r="B51" s="25" t="str">
        <x:v>CL050</x:v>
      </x:c>
      <x:c r="C51" s="30" t="n">
        <x:v>46162.375</x:v>
      </x:c>
      <x:c r="D51" s="30" t="n">
        <x:v>46164.375</x:v>
      </x:c>
      <x:c r="E51" s="25" t="str">
        <x:v>Centro</x:v>
      </x:c>
      <x:c r="F51" s="25" t="str">
        <x:v>Climatização</x:v>
      </x:c>
      <x:c r="G51" s="25" t="str">
        <x:v>EQ050</x:v>
      </x:c>
      <x:c r="H51" s="25" t="str">
        <x:v>Baixa eficiência</x:v>
      </x:c>
      <x:c r="I51" s="34" t="b">
        <x:v>1</x:v>
      </x:c>
      <x:c r="J51" s="35" t="str">
        <x:v>Concluída</x:v>
      </x:c>
      <x:c r="K51" s="35" t="n">
        <x:v>1</x:v>
      </x:c>
      <x:c r="L51" s="35" t="n">
        <x:f>IF(J51="Concluída",1,0)</x:f>
        <x:v>1</x:v>
      </x:c>
      <x:c r="M51" s="35" t="n">
        <x:f>IF(AND(G51&lt;&gt;"",H51&lt;&gt;"",I51=TRUE),1,0)</x:f>
        <x:v>1</x:v>
      </x:c>
      <x:c r="N51" s="35" t="n">
        <x:v>0</x:v>
      </x:c>
      <x:c r="O51" s="39" t="str"/>
      <x:c r="P51" s="25" t="str">
        <x:v>TEC01</x:v>
      </x:c>
    </x:row>
    <x:row r="52">
      <x:c r="A52" s="25" t="str">
        <x:v>OS0051</x:v>
      </x:c>
      <x:c r="B52" s="25" t="str">
        <x:v>CL051</x:v>
      </x:c>
      <x:c r="C52" s="30" t="n">
        <x:v>46163.416666666664</x:v>
      </x:c>
      <x:c r="D52" s="30" t="n">
        <x:v>46165.416666666664</x:v>
      </x:c>
      <x:c r="E52" s="25" t="str">
        <x:v>Norte</x:v>
      </x:c>
      <x:c r="F52" s="25" t="str">
        <x:v>Refrigeração</x:v>
      </x:c>
      <x:c r="G52" s="25" t="str">
        <x:v>EQ051</x:v>
      </x:c>
      <x:c r="H52" s="25" t="str">
        <x:v>Vazamento</x:v>
      </x:c>
      <x:c r="I52" s="34" t="b">
        <x:v>1</x:v>
      </x:c>
      <x:c r="J52" s="35" t="str">
        <x:v>Concluída</x:v>
      </x:c>
      <x:c r="K52" s="35" t="n">
        <x:v>1</x:v>
      </x:c>
      <x:c r="L52" s="35" t="n">
        <x:f>IF(J52="Concluída",1,0)</x:f>
        <x:v>1</x:v>
      </x:c>
      <x:c r="M52" s="35" t="n">
        <x:f>IF(AND(G52&lt;&gt;"",H52&lt;&gt;"",I52=TRUE),1,0)</x:f>
        <x:v>1</x:v>
      </x:c>
      <x:c r="N52" s="35" t="n">
        <x:v>0</x:v>
      </x:c>
      <x:c r="O52" s="39" t="str"/>
      <x:c r="P52" s="25" t="str">
        <x:v>TEC02</x:v>
      </x:c>
    </x:row>
    <x:row r="53">
      <x:c r="A53" s="25" t="str">
        <x:v>OS0052</x:v>
      </x:c>
      <x:c r="B53" s="25" t="str">
        <x:v>CL052</x:v>
      </x:c>
      <x:c r="C53" s="30" t="n">
        <x:v>46164.458333333336</x:v>
      </x:c>
      <x:c r="D53" s="30" t="n">
        <x:v>46166.458333333336</x:v>
      </x:c>
      <x:c r="E53" s="25" t="str">
        <x:v>Sul</x:v>
      </x:c>
      <x:c r="F53" s="25" t="str">
        <x:v>Hidráulica leve</x:v>
      </x:c>
      <x:c r="G53" s="25" t="str">
        <x:v>EQ052</x:v>
      </x:c>
      <x:c r="H53" s="25" t="str">
        <x:v>Falha intermitente</x:v>
      </x:c>
      <x:c r="I53" s="34" t="b">
        <x:v>1</x:v>
      </x:c>
      <x:c r="J53" s="35" t="str">
        <x:v>Concluída</x:v>
      </x:c>
      <x:c r="K53" s="35" t="n">
        <x:v>1</x:v>
      </x:c>
      <x:c r="L53" s="35" t="n">
        <x:f>IF(J53="Concluída",1,0)</x:f>
        <x:v>1</x:v>
      </x:c>
      <x:c r="M53" s="35" t="n">
        <x:f>IF(AND(G53&lt;&gt;"",H53&lt;&gt;"",I53=TRUE),1,0)</x:f>
        <x:v>1</x:v>
      </x:c>
      <x:c r="N53" s="35" t="n">
        <x:v>0</x:v>
      </x:c>
      <x:c r="O53" s="39" t="str"/>
      <x:c r="P53" s="25" t="str">
        <x:v>TEC03</x:v>
      </x:c>
    </x:row>
    <x:row r="54">
      <x:c r="A54" s="25" t="str">
        <x:v>OS0053</x:v>
      </x:c>
      <x:c r="B54" s="25" t="str">
        <x:v>CL053</x:v>
      </x:c>
      <x:c r="C54" s="30" t="n">
        <x:v>46165.5</x:v>
      </x:c>
      <x:c r="D54" s="30" t="n">
        <x:v>46167.5</x:v>
      </x:c>
      <x:c r="E54" s="25" t="str">
        <x:v>Leste</x:v>
      </x:c>
      <x:c r="F54" s="25" t="str">
        <x:v>Elétrica leve</x:v>
      </x:c>
      <x:c r="G54" s="25" t="str">
        <x:v>EQ053</x:v>
      </x:c>
      <x:c r="H54" s="25" t="str">
        <x:v>Oscilação</x:v>
      </x:c>
      <x:c r="I54" s="34" t="b">
        <x:v>1</x:v>
      </x:c>
      <x:c r="J54" s="35" t="str">
        <x:v>Concluída</x:v>
      </x:c>
      <x:c r="K54" s="35" t="n">
        <x:v>1</x:v>
      </x:c>
      <x:c r="L54" s="35" t="n">
        <x:f>IF(J54="Concluída",1,0)</x:f>
        <x:v>1</x:v>
      </x:c>
      <x:c r="M54" s="35" t="n">
        <x:f>IF(AND(G54&lt;&gt;"",H54&lt;&gt;"",I54=TRUE),1,0)</x:f>
        <x:v>1</x:v>
      </x:c>
      <x:c r="N54" s="35" t="n">
        <x:v>0</x:v>
      </x:c>
      <x:c r="O54" s="39" t="str"/>
      <x:c r="P54" s="25" t="str">
        <x:v>TEC04</x:v>
      </x:c>
    </x:row>
    <x:row r="55">
      <x:c r="A55" s="25" t="str">
        <x:v>OS0054</x:v>
      </x:c>
      <x:c r="B55" s="25" t="str">
        <x:v>CL054</x:v>
      </x:c>
      <x:c r="C55" s="30" t="n">
        <x:v>46166.541666666664</x:v>
      </x:c>
      <x:c r="D55" s="30" t="n">
        <x:v>46168.541666666664</x:v>
      </x:c>
      <x:c r="E55" s="25" t="str">
        <x:v>Oeste</x:v>
      </x:c>
      <x:c r="F55" s="25" t="str">
        <x:v>Climatização</x:v>
      </x:c>
      <x:c r="G55" s="25" t="str">
        <x:v>EQ054</x:v>
      </x:c>
      <x:c r="H55" s="25" t="str">
        <x:v>Baixa eficiência</x:v>
      </x:c>
      <x:c r="I55" s="34" t="b">
        <x:v>1</x:v>
      </x:c>
      <x:c r="J55" s="35" t="str">
        <x:v>Concluída</x:v>
      </x:c>
      <x:c r="K55" s="35" t="n">
        <x:v>1</x:v>
      </x:c>
      <x:c r="L55" s="35" t="n">
        <x:f>IF(J55="Concluída",1,0)</x:f>
        <x:v>1</x:v>
      </x:c>
      <x:c r="M55" s="35" t="n">
        <x:f>IF(AND(G55&lt;&gt;"",H55&lt;&gt;"",I55=TRUE),1,0)</x:f>
        <x:v>1</x:v>
      </x:c>
      <x:c r="N55" s="35" t="n">
        <x:v>0</x:v>
      </x:c>
      <x:c r="O55" s="39" t="str"/>
      <x:c r="P55" s="25" t="str">
        <x:v>TEC05</x:v>
      </x:c>
    </x:row>
    <x:row r="56">
      <x:c r="A56" s="25" t="str">
        <x:v>OS0055</x:v>
      </x:c>
      <x:c r="B56" s="25" t="str">
        <x:v>CL055</x:v>
      </x:c>
      <x:c r="C56" s="30" t="n">
        <x:v>46167.583333333336</x:v>
      </x:c>
      <x:c r="D56" s="30" t="n">
        <x:v>46169.583333333336</x:v>
      </x:c>
      <x:c r="E56" s="25" t="str">
        <x:v>Centro</x:v>
      </x:c>
      <x:c r="F56" s="25" t="str">
        <x:v>Refrigeração</x:v>
      </x:c>
      <x:c r="G56" s="25" t="str">
        <x:v>EQ055</x:v>
      </x:c>
      <x:c r="H56" s="25" t="str">
        <x:v>Vazamento</x:v>
      </x:c>
      <x:c r="I56" s="34" t="b">
        <x:v>1</x:v>
      </x:c>
      <x:c r="J56" s="35" t="str">
        <x:v>Concluída</x:v>
      </x:c>
      <x:c r="K56" s="35" t="n">
        <x:v>1</x:v>
      </x:c>
      <x:c r="L56" s="35" t="n">
        <x:f>IF(J56="Concluída",1,0)</x:f>
        <x:v>1</x:v>
      </x:c>
      <x:c r="M56" s="35" t="n">
        <x:f>IF(AND(G56&lt;&gt;"",H56&lt;&gt;"",I56=TRUE),1,0)</x:f>
        <x:v>1</x:v>
      </x:c>
      <x:c r="N56" s="35" t="n">
        <x:v>0</x:v>
      </x:c>
      <x:c r="O56" s="39" t="str"/>
      <x:c r="P56" s="25" t="str">
        <x:v>TEC06</x:v>
      </x:c>
    </x:row>
    <x:row r="57">
      <x:c r="A57" s="25" t="str">
        <x:v>OS0056</x:v>
      </x:c>
      <x:c r="B57" s="25" t="str">
        <x:v>CL056</x:v>
      </x:c>
      <x:c r="C57" s="30" t="n">
        <x:v>46168.625</x:v>
      </x:c>
      <x:c r="D57" s="30" t="n">
        <x:v>46170.625</x:v>
      </x:c>
      <x:c r="E57" s="25" t="str">
        <x:v>Norte</x:v>
      </x:c>
      <x:c r="F57" s="25" t="str">
        <x:v>Hidráulica leve</x:v>
      </x:c>
      <x:c r="G57" s="25" t="str">
        <x:v>EQ056</x:v>
      </x:c>
      <x:c r="H57" s="25" t="str">
        <x:v>Falha intermitente</x:v>
      </x:c>
      <x:c r="I57" s="34" t="b">
        <x:v>1</x:v>
      </x:c>
      <x:c r="J57" s="35" t="str">
        <x:v>Concluída</x:v>
      </x:c>
      <x:c r="K57" s="35" t="n">
        <x:v>1</x:v>
      </x:c>
      <x:c r="L57" s="35" t="n">
        <x:f>IF(J57="Concluída",1,0)</x:f>
        <x:v>1</x:v>
      </x:c>
      <x:c r="M57" s="35" t="n">
        <x:f>IF(AND(G57&lt;&gt;"",H57&lt;&gt;"",I57=TRUE),1,0)</x:f>
        <x:v>1</x:v>
      </x:c>
      <x:c r="N57" s="35" t="n">
        <x:v>0</x:v>
      </x:c>
      <x:c r="O57" s="39" t="str"/>
      <x:c r="P57" s="25" t="str">
        <x:v>TEC07</x:v>
      </x:c>
    </x:row>
    <x:row r="58">
      <x:c r="A58" s="25" t="str">
        <x:v>OS0057</x:v>
      </x:c>
      <x:c r="B58" s="25" t="str">
        <x:v>CL057</x:v>
      </x:c>
      <x:c r="C58" s="30" t="n">
        <x:v>46143.25</x:v>
      </x:c>
      <x:c r="D58" s="30" t="n">
        <x:v>46143.333333333336</x:v>
      </x:c>
      <x:c r="E58" s="25" t="str">
        <x:v>Sul</x:v>
      </x:c>
      <x:c r="F58" s="25" t="str">
        <x:v>Elétrica leve</x:v>
      </x:c>
      <x:c r="G58" s="25" t="str">
        <x:v>EQ057</x:v>
      </x:c>
      <x:c r="H58" s="25" t="str">
        <x:v>Oscilação</x:v>
      </x:c>
      <x:c r="I58" s="34" t="b">
        <x:v>1</x:v>
      </x:c>
      <x:c r="J58" s="35" t="str">
        <x:v>Concluída</x:v>
      </x:c>
      <x:c r="K58" s="35" t="n">
        <x:v>1</x:v>
      </x:c>
      <x:c r="L58" s="35" t="n">
        <x:f>IF(J58="Concluída",1,0)</x:f>
        <x:v>1</x:v>
      </x:c>
      <x:c r="M58" s="35" t="n">
        <x:f>IF(AND(G58&lt;&gt;"",H58&lt;&gt;"",I58=TRUE),1,0)</x:f>
        <x:v>1</x:v>
      </x:c>
      <x:c r="N58" s="35" t="n">
        <x:v>0</x:v>
      </x:c>
      <x:c r="O58" s="39" t="str"/>
      <x:c r="P58" s="25" t="str">
        <x:v>TEC01</x:v>
      </x:c>
    </x:row>
    <x:row r="59">
      <x:c r="A59" s="25" t="str">
        <x:v>OS0058</x:v>
      </x:c>
      <x:c r="B59" s="25" t="str">
        <x:v>CL058</x:v>
      </x:c>
      <x:c r="C59" s="30" t="n">
        <x:v>46143.25</x:v>
      </x:c>
      <x:c r="D59" s="30" t="n">
        <x:v>46144.375</x:v>
      </x:c>
      <x:c r="E59" s="25" t="str">
        <x:v>Leste</x:v>
      </x:c>
      <x:c r="F59" s="25" t="str">
        <x:v>Climatização</x:v>
      </x:c>
      <x:c r="G59" s="25" t="str">
        <x:v>EQ058</x:v>
      </x:c>
      <x:c r="H59" s="25" t="str">
        <x:v>Baixa eficiência</x:v>
      </x:c>
      <x:c r="I59" s="34" t="b">
        <x:v>1</x:v>
      </x:c>
      <x:c r="J59" s="35" t="str">
        <x:v>Concluída</x:v>
      </x:c>
      <x:c r="K59" s="35" t="n">
        <x:v>1</x:v>
      </x:c>
      <x:c r="L59" s="35" t="n">
        <x:f>IF(J59="Concluída",1,0)</x:f>
        <x:v>1</x:v>
      </x:c>
      <x:c r="M59" s="35" t="n">
        <x:f>IF(AND(G59&lt;&gt;"",H59&lt;&gt;"",I59=TRUE),1,0)</x:f>
        <x:v>1</x:v>
      </x:c>
      <x:c r="N59" s="35" t="n">
        <x:v>0</x:v>
      </x:c>
      <x:c r="O59" s="39" t="str"/>
      <x:c r="P59" s="25" t="str">
        <x:v>TEC02</x:v>
      </x:c>
    </x:row>
    <x:row r="60">
      <x:c r="A60" s="25" t="str">
        <x:v>OS0059</x:v>
      </x:c>
      <x:c r="B60" s="25" t="str">
        <x:v>CL059</x:v>
      </x:c>
      <x:c r="C60" s="30" t="n">
        <x:v>46143.416666666664</x:v>
      </x:c>
      <x:c r="D60" s="30" t="n">
        <x:v>46145.416666666664</x:v>
      </x:c>
      <x:c r="E60" s="25" t="str">
        <x:v>Oeste</x:v>
      </x:c>
      <x:c r="F60" s="25" t="str">
        <x:v>Refrigeração</x:v>
      </x:c>
      <x:c r="G60" s="25" t="str">
        <x:v>EQ059</x:v>
      </x:c>
      <x:c r="H60" s="25" t="str">
        <x:v>Vazamento</x:v>
      </x:c>
      <x:c r="I60" s="34" t="b">
        <x:v>1</x:v>
      </x:c>
      <x:c r="J60" s="35" t="str">
        <x:v>Concluída</x:v>
      </x:c>
      <x:c r="K60" s="35" t="n">
        <x:v>1</x:v>
      </x:c>
      <x:c r="L60" s="35" t="n">
        <x:f>IF(J60="Concluída",1,0)</x:f>
        <x:v>1</x:v>
      </x:c>
      <x:c r="M60" s="35" t="n">
        <x:f>IF(AND(G60&lt;&gt;"",H60&lt;&gt;"",I60=TRUE),1,0)</x:f>
        <x:v>1</x:v>
      </x:c>
      <x:c r="N60" s="35" t="n">
        <x:v>0</x:v>
      </x:c>
      <x:c r="O60" s="39" t="str"/>
      <x:c r="P60" s="25" t="str">
        <x:v>TEC03</x:v>
      </x:c>
    </x:row>
    <x:row r="61">
      <x:c r="A61" s="25" t="str">
        <x:v>OS0060</x:v>
      </x:c>
      <x:c r="B61" s="25" t="str">
        <x:v>CL060</x:v>
      </x:c>
      <x:c r="C61" s="30" t="n">
        <x:v>46144.458333333336</x:v>
      </x:c>
      <x:c r="D61" s="30" t="n">
        <x:v>46146.458333333336</x:v>
      </x:c>
      <x:c r="E61" s="25" t="str">
        <x:v>Centro</x:v>
      </x:c>
      <x:c r="F61" s="25" t="str">
        <x:v>Hidráulica leve</x:v>
      </x:c>
      <x:c r="G61" s="25" t="str">
        <x:v>EQ060</x:v>
      </x:c>
      <x:c r="H61" s="25" t="str">
        <x:v>Falha intermitente</x:v>
      </x:c>
      <x:c r="I61" s="34" t="b">
        <x:v>1</x:v>
      </x:c>
      <x:c r="J61" s="35" t="str">
        <x:v>Concluída</x:v>
      </x:c>
      <x:c r="K61" s="35" t="n">
        <x:v>1</x:v>
      </x:c>
      <x:c r="L61" s="35" t="n">
        <x:f>IF(J61="Concluída",1,0)</x:f>
        <x:v>1</x:v>
      </x:c>
      <x:c r="M61" s="35" t="n">
        <x:f>IF(AND(G61&lt;&gt;"",H61&lt;&gt;"",I61=TRUE),1,0)</x:f>
        <x:v>1</x:v>
      </x:c>
      <x:c r="N61" s="35" t="n">
        <x:v>0</x:v>
      </x:c>
      <x:c r="O61" s="39" t="str"/>
      <x:c r="P61" s="25" t="str">
        <x:v>TEC04</x:v>
      </x:c>
    </x:row>
    <x:row r="62">
      <x:c r="A62" s="25" t="str">
        <x:v>OS0061</x:v>
      </x:c>
      <x:c r="B62" s="25" t="str">
        <x:v>CL061</x:v>
      </x:c>
      <x:c r="C62" s="30" t="n">
        <x:v>46145.5</x:v>
      </x:c>
      <x:c r="D62" s="30" t="n">
        <x:v>46147.5</x:v>
      </x:c>
      <x:c r="E62" s="25" t="str">
        <x:v>Norte</x:v>
      </x:c>
      <x:c r="F62" s="25" t="str">
        <x:v>Elétrica leve</x:v>
      </x:c>
      <x:c r="G62" s="25" t="str">
        <x:v>EQ061</x:v>
      </x:c>
      <x:c r="H62" s="25" t="str">
        <x:v>Oscilação</x:v>
      </x:c>
      <x:c r="I62" s="34" t="b">
        <x:v>1</x:v>
      </x:c>
      <x:c r="J62" s="35" t="str">
        <x:v>Concluída</x:v>
      </x:c>
      <x:c r="K62" s="35" t="n">
        <x:v>1</x:v>
      </x:c>
      <x:c r="L62" s="35" t="n">
        <x:f>IF(J62="Concluída",1,0)</x:f>
        <x:v>1</x:v>
      </x:c>
      <x:c r="M62" s="35" t="n">
        <x:f>IF(AND(G62&lt;&gt;"",H62&lt;&gt;"",I62=TRUE),1,0)</x:f>
        <x:v>1</x:v>
      </x:c>
      <x:c r="N62" s="35" t="n">
        <x:v>0</x:v>
      </x:c>
      <x:c r="O62" s="39" t="str"/>
      <x:c r="P62" s="25" t="str">
        <x:v>TEC05</x:v>
      </x:c>
    </x:row>
    <x:row r="63">
      <x:c r="A63" s="25" t="str">
        <x:v>OS0062</x:v>
      </x:c>
      <x:c r="B63" s="25" t="str">
        <x:v>CL062</x:v>
      </x:c>
      <x:c r="C63" s="30" t="n">
        <x:v>46146.541666666664</x:v>
      </x:c>
      <x:c r="D63" s="30" t="n">
        <x:v>46148.541666666664</x:v>
      </x:c>
      <x:c r="E63" s="25" t="str">
        <x:v>Sul</x:v>
      </x:c>
      <x:c r="F63" s="25" t="str">
        <x:v>Climatização</x:v>
      </x:c>
      <x:c r="G63" s="25" t="str">
        <x:v>EQ062</x:v>
      </x:c>
      <x:c r="H63" s="25" t="str">
        <x:v>Baixa eficiência</x:v>
      </x:c>
      <x:c r="I63" s="34" t="b">
        <x:v>1</x:v>
      </x:c>
      <x:c r="J63" s="35" t="str">
        <x:v>Concluída</x:v>
      </x:c>
      <x:c r="K63" s="35" t="n">
        <x:v>1</x:v>
      </x:c>
      <x:c r="L63" s="35" t="n">
        <x:f>IF(J63="Concluída",1,0)</x:f>
        <x:v>1</x:v>
      </x:c>
      <x:c r="M63" s="35" t="n">
        <x:f>IF(AND(G63&lt;&gt;"",H63&lt;&gt;"",I63=TRUE),1,0)</x:f>
        <x:v>1</x:v>
      </x:c>
      <x:c r="N63" s="35" t="n">
        <x:v>0</x:v>
      </x:c>
      <x:c r="O63" s="39" t="str"/>
      <x:c r="P63" s="25" t="str">
        <x:v>TEC06</x:v>
      </x:c>
    </x:row>
    <x:row r="64">
      <x:c r="A64" s="25" t="str">
        <x:v>OS0063</x:v>
      </x:c>
      <x:c r="B64" s="25" t="str">
        <x:v>CL063</x:v>
      </x:c>
      <x:c r="C64" s="30" t="n">
        <x:v>46147.583333333336</x:v>
      </x:c>
      <x:c r="D64" s="30" t="n">
        <x:v>46149.583333333336</x:v>
      </x:c>
      <x:c r="E64" s="25" t="str">
        <x:v>Leste</x:v>
      </x:c>
      <x:c r="F64" s="25" t="str">
        <x:v>Refrigeração</x:v>
      </x:c>
      <x:c r="G64" s="25" t="str">
        <x:v>EQ063</x:v>
      </x:c>
      <x:c r="H64" s="25" t="str">
        <x:v>Vazamento</x:v>
      </x:c>
      <x:c r="I64" s="34" t="b">
        <x:v>1</x:v>
      </x:c>
      <x:c r="J64" s="35" t="str">
        <x:v>Concluída</x:v>
      </x:c>
      <x:c r="K64" s="35" t="n">
        <x:v>1</x:v>
      </x:c>
      <x:c r="L64" s="35" t="n">
        <x:f>IF(J64="Concluída",1,0)</x:f>
        <x:v>1</x:v>
      </x:c>
      <x:c r="M64" s="35" t="n">
        <x:f>IF(AND(G64&lt;&gt;"",H64&lt;&gt;"",I64=TRUE),1,0)</x:f>
        <x:v>1</x:v>
      </x:c>
      <x:c r="N64" s="35" t="n">
        <x:v>0</x:v>
      </x:c>
      <x:c r="O64" s="39" t="str"/>
      <x:c r="P64" s="25" t="str">
        <x:v>TEC07</x:v>
      </x:c>
    </x:row>
    <x:row r="65">
      <x:c r="A65" s="25" t="str">
        <x:v>OS0064</x:v>
      </x:c>
      <x:c r="B65" s="25" t="str">
        <x:v>CL064</x:v>
      </x:c>
      <x:c r="C65" s="30" t="n">
        <x:v>46148.625</x:v>
      </x:c>
      <x:c r="D65" s="30" t="n">
        <x:v>46150.625</x:v>
      </x:c>
      <x:c r="E65" s="25" t="str">
        <x:v>Oeste</x:v>
      </x:c>
      <x:c r="F65" s="25" t="str">
        <x:v>Hidráulica leve</x:v>
      </x:c>
      <x:c r="G65" s="25" t="str">
        <x:v>EQ064</x:v>
      </x:c>
      <x:c r="H65" s="25" t="str">
        <x:v>Falha intermitente</x:v>
      </x:c>
      <x:c r="I65" s="34" t="b">
        <x:v>1</x:v>
      </x:c>
      <x:c r="J65" s="35" t="str">
        <x:v>Concluída</x:v>
      </x:c>
      <x:c r="K65" s="35" t="n">
        <x:v>1</x:v>
      </x:c>
      <x:c r="L65" s="35" t="n">
        <x:f>IF(J65="Concluída",1,0)</x:f>
        <x:v>1</x:v>
      </x:c>
      <x:c r="M65" s="35" t="n">
        <x:f>IF(AND(G65&lt;&gt;"",H65&lt;&gt;"",I65=TRUE),1,0)</x:f>
        <x:v>1</x:v>
      </x:c>
      <x:c r="N65" s="35" t="n">
        <x:v>0</x:v>
      </x:c>
      <x:c r="O65" s="39" t="str"/>
      <x:c r="P65" s="25" t="str">
        <x:v>TEC01</x:v>
      </x:c>
    </x:row>
    <x:row r="66">
      <x:c r="A66" s="25" t="str">
        <x:v>OS0065</x:v>
      </x:c>
      <x:c r="B66" s="25" t="str">
        <x:v>CL065</x:v>
      </x:c>
      <x:c r="C66" s="30" t="n">
        <x:v>46149.333333333336</x:v>
      </x:c>
      <x:c r="D66" s="30" t="n">
        <x:v>46151.333333333336</x:v>
      </x:c>
      <x:c r="E66" s="25" t="str">
        <x:v>Centro</x:v>
      </x:c>
      <x:c r="F66" s="25" t="str">
        <x:v>Elétrica leve</x:v>
      </x:c>
      <x:c r="G66" s="25" t="str">
        <x:v>EQ065</x:v>
      </x:c>
      <x:c r="H66" s="25" t="str">
        <x:v>Oscilação</x:v>
      </x:c>
      <x:c r="I66" s="34" t="b">
        <x:v>1</x:v>
      </x:c>
      <x:c r="J66" s="35" t="str">
        <x:v>Concluída</x:v>
      </x:c>
      <x:c r="K66" s="35" t="n">
        <x:v>1</x:v>
      </x:c>
      <x:c r="L66" s="35" t="n">
        <x:f>IF(J66="Concluída",1,0)</x:f>
        <x:v>1</x:v>
      </x:c>
      <x:c r="M66" s="35" t="n">
        <x:f>IF(AND(G66&lt;&gt;"",H66&lt;&gt;"",I66=TRUE),1,0)</x:f>
        <x:v>1</x:v>
      </x:c>
      <x:c r="N66" s="35" t="n">
        <x:v>0</x:v>
      </x:c>
      <x:c r="O66" s="39" t="str"/>
      <x:c r="P66" s="25" t="str">
        <x:v>TEC02</x:v>
      </x:c>
    </x:row>
    <x:row r="67">
      <x:c r="A67" s="25" t="str">
        <x:v>OS0066</x:v>
      </x:c>
      <x:c r="B67" s="25" t="str">
        <x:v>CL066</x:v>
      </x:c>
      <x:c r="C67" s="30" t="n">
        <x:v>46150.375</x:v>
      </x:c>
      <x:c r="D67" s="30" t="n">
        <x:v>46152.375</x:v>
      </x:c>
      <x:c r="E67" s="25" t="str">
        <x:v>Norte</x:v>
      </x:c>
      <x:c r="F67" s="25" t="str">
        <x:v>Climatização</x:v>
      </x:c>
      <x:c r="G67" s="25" t="str">
        <x:v>EQ066</x:v>
      </x:c>
      <x:c r="H67" s="25" t="str">
        <x:v>Baixa eficiência</x:v>
      </x:c>
      <x:c r="I67" s="34" t="b">
        <x:v>1</x:v>
      </x:c>
      <x:c r="J67" s="35" t="str">
        <x:v>Concluída</x:v>
      </x:c>
      <x:c r="K67" s="35" t="n">
        <x:v>1</x:v>
      </x:c>
      <x:c r="L67" s="35" t="n">
        <x:f>IF(J67="Concluída",1,0)</x:f>
        <x:v>1</x:v>
      </x:c>
      <x:c r="M67" s="35" t="n">
        <x:f>IF(AND(G67&lt;&gt;"",H67&lt;&gt;"",I67=TRUE),1,0)</x:f>
        <x:v>1</x:v>
      </x:c>
      <x:c r="N67" s="35" t="n">
        <x:v>0</x:v>
      </x:c>
      <x:c r="O67" s="39" t="str"/>
      <x:c r="P67" s="25" t="str">
        <x:v>TEC03</x:v>
      </x:c>
    </x:row>
    <x:row r="68">
      <x:c r="A68" s="25" t="str">
        <x:v>OS0067</x:v>
      </x:c>
      <x:c r="B68" s="25" t="str">
        <x:v>CL067</x:v>
      </x:c>
      <x:c r="C68" s="30" t="n">
        <x:v>46151.416666666664</x:v>
      </x:c>
      <x:c r="D68" s="30" t="n">
        <x:v>46153.416666666664</x:v>
      </x:c>
      <x:c r="E68" s="25" t="str">
        <x:v>Sul</x:v>
      </x:c>
      <x:c r="F68" s="25" t="str">
        <x:v>Refrigeração</x:v>
      </x:c>
      <x:c r="G68" s="25" t="str">
        <x:v>EQ067</x:v>
      </x:c>
      <x:c r="H68" s="25" t="str">
        <x:v>Vazamento</x:v>
      </x:c>
      <x:c r="I68" s="34" t="b">
        <x:v>1</x:v>
      </x:c>
      <x:c r="J68" s="35" t="str">
        <x:v>Concluída</x:v>
      </x:c>
      <x:c r="K68" s="35" t="n">
        <x:v>1</x:v>
      </x:c>
      <x:c r="L68" s="35" t="n">
        <x:f>IF(J68="Concluída",1,0)</x:f>
        <x:v>1</x:v>
      </x:c>
      <x:c r="M68" s="35" t="n">
        <x:f>IF(AND(G68&lt;&gt;"",H68&lt;&gt;"",I68=TRUE),1,0)</x:f>
        <x:v>1</x:v>
      </x:c>
      <x:c r="N68" s="35" t="n">
        <x:v>0</x:v>
      </x:c>
      <x:c r="O68" s="39" t="str"/>
      <x:c r="P68" s="25" t="str">
        <x:v>TEC04</x:v>
      </x:c>
    </x:row>
    <x:row r="69">
      <x:c r="A69" s="25" t="str">
        <x:v>OS0068</x:v>
      </x:c>
      <x:c r="B69" s="25" t="str">
        <x:v>CL068</x:v>
      </x:c>
      <x:c r="C69" s="30" t="n">
        <x:v>46152.458333333336</x:v>
      </x:c>
      <x:c r="D69" s="30" t="n">
        <x:v>46154.458333333336</x:v>
      </x:c>
      <x:c r="E69" s="25" t="str">
        <x:v>Leste</x:v>
      </x:c>
      <x:c r="F69" s="25" t="str">
        <x:v>Hidráulica leve</x:v>
      </x:c>
      <x:c r="G69" s="25" t="str">
        <x:v>EQ068</x:v>
      </x:c>
      <x:c r="H69" s="25" t="str">
        <x:v>Falha intermitente</x:v>
      </x:c>
      <x:c r="I69" s="34" t="b">
        <x:v>1</x:v>
      </x:c>
      <x:c r="J69" s="35" t="str">
        <x:v>Concluída</x:v>
      </x:c>
      <x:c r="K69" s="35" t="n">
        <x:v>1</x:v>
      </x:c>
      <x:c r="L69" s="35" t="n">
        <x:f>IF(J69="Concluída",1,0)</x:f>
        <x:v>1</x:v>
      </x:c>
      <x:c r="M69" s="35" t="n">
        <x:f>IF(AND(G69&lt;&gt;"",H69&lt;&gt;"",I69=TRUE),1,0)</x:f>
        <x:v>1</x:v>
      </x:c>
      <x:c r="N69" s="35" t="n">
        <x:v>0</x:v>
      </x:c>
      <x:c r="O69" s="39" t="str"/>
      <x:c r="P69" s="25" t="str">
        <x:v>TEC05</x:v>
      </x:c>
    </x:row>
    <x:row r="70">
      <x:c r="A70" s="25" t="str">
        <x:v>OS0069</x:v>
      </x:c>
      <x:c r="B70" s="25" t="str">
        <x:v>CL069</x:v>
      </x:c>
      <x:c r="C70" s="30" t="n">
        <x:v>46153.5</x:v>
      </x:c>
      <x:c r="D70" s="30" t="n">
        <x:v>46155.5</x:v>
      </x:c>
      <x:c r="E70" s="25" t="str">
        <x:v>Oeste</x:v>
      </x:c>
      <x:c r="F70" s="25" t="str">
        <x:v>Elétrica leve</x:v>
      </x:c>
      <x:c r="G70" s="25" t="str">
        <x:v>EQ069</x:v>
      </x:c>
      <x:c r="H70" s="25" t="str">
        <x:v>Oscilação</x:v>
      </x:c>
      <x:c r="I70" s="34" t="b">
        <x:v>1</x:v>
      </x:c>
      <x:c r="J70" s="35" t="str">
        <x:v>Concluída</x:v>
      </x:c>
      <x:c r="K70" s="35" t="n">
        <x:v>1</x:v>
      </x:c>
      <x:c r="L70" s="35" t="n">
        <x:f>IF(J70="Concluída",1,0)</x:f>
        <x:v>1</x:v>
      </x:c>
      <x:c r="M70" s="35" t="n">
        <x:f>IF(AND(G70&lt;&gt;"",H70&lt;&gt;"",I70=TRUE),1,0)</x:f>
        <x:v>1</x:v>
      </x:c>
      <x:c r="N70" s="35" t="n">
        <x:v>0</x:v>
      </x:c>
      <x:c r="O70" s="39" t="str"/>
      <x:c r="P70" s="25" t="str">
        <x:v>TEC06</x:v>
      </x:c>
    </x:row>
    <x:row r="71">
      <x:c r="A71" s="25" t="str">
        <x:v>OS0070</x:v>
      </x:c>
      <x:c r="B71" s="25" t="str">
        <x:v>CL070</x:v>
      </x:c>
      <x:c r="C71" s="30" t="n">
        <x:v>46154.541666666664</x:v>
      </x:c>
      <x:c r="D71" s="30" t="n">
        <x:v>46156.541666666664</x:v>
      </x:c>
      <x:c r="E71" s="25" t="str">
        <x:v>Centro</x:v>
      </x:c>
      <x:c r="F71" s="25" t="str">
        <x:v>Climatização</x:v>
      </x:c>
      <x:c r="G71" s="25" t="str">
        <x:v>EQ070</x:v>
      </x:c>
      <x:c r="H71" s="25" t="str">
        <x:v>Baixa eficiência</x:v>
      </x:c>
      <x:c r="I71" s="34" t="b">
        <x:v>1</x:v>
      </x:c>
      <x:c r="J71" s="35" t="str">
        <x:v>Concluída</x:v>
      </x:c>
      <x:c r="K71" s="35" t="n">
        <x:v>1</x:v>
      </x:c>
      <x:c r="L71" s="35" t="n">
        <x:f>IF(J71="Concluída",1,0)</x:f>
        <x:v>1</x:v>
      </x:c>
      <x:c r="M71" s="35" t="n">
        <x:f>IF(AND(G71&lt;&gt;"",H71&lt;&gt;"",I71=TRUE),1,0)</x:f>
        <x:v>1</x:v>
      </x:c>
      <x:c r="N71" s="35" t="n">
        <x:v>0</x:v>
      </x:c>
      <x:c r="O71" s="39" t="str"/>
      <x:c r="P71" s="25" t="str">
        <x:v>TEC07</x:v>
      </x:c>
    </x:row>
    <x:row r="72">
      <x:c r="A72" s="25" t="str">
        <x:v>OS0071</x:v>
      </x:c>
      <x:c r="B72" s="25" t="str">
        <x:v>CL071</x:v>
      </x:c>
      <x:c r="C72" s="30" t="n">
        <x:v>46155.583333333336</x:v>
      </x:c>
      <x:c r="D72" s="30" t="n">
        <x:v>46157.583333333336</x:v>
      </x:c>
      <x:c r="E72" s="25" t="str">
        <x:v>Norte</x:v>
      </x:c>
      <x:c r="F72" s="25" t="str">
        <x:v>Refrigeração</x:v>
      </x:c>
      <x:c r="G72" s="25" t="str">
        <x:v>EQ071</x:v>
      </x:c>
      <x:c r="H72" s="25" t="str">
        <x:v>Vazamento</x:v>
      </x:c>
      <x:c r="I72" s="34" t="b">
        <x:v>1</x:v>
      </x:c>
      <x:c r="J72" s="35" t="str">
        <x:v>Concluída</x:v>
      </x:c>
      <x:c r="K72" s="35" t="n">
        <x:v>1</x:v>
      </x:c>
      <x:c r="L72" s="35" t="n">
        <x:f>IF(J72="Concluída",1,0)</x:f>
        <x:v>1</x:v>
      </x:c>
      <x:c r="M72" s="35" t="n">
        <x:f>IF(AND(G72&lt;&gt;"",H72&lt;&gt;"",I72=TRUE),1,0)</x:f>
        <x:v>1</x:v>
      </x:c>
      <x:c r="N72" s="35" t="n">
        <x:v>0</x:v>
      </x:c>
      <x:c r="O72" s="39" t="str"/>
      <x:c r="P72" s="25" t="str">
        <x:v>TEC01</x:v>
      </x:c>
    </x:row>
    <x:row r="73">
      <x:c r="A73" s="25" t="str">
        <x:v>OS0072</x:v>
      </x:c>
      <x:c r="B73" s="25" t="str">
        <x:v>CL072</x:v>
      </x:c>
      <x:c r="C73" s="30" t="n">
        <x:v>46156.625</x:v>
      </x:c>
      <x:c r="D73" s="30" t="n">
        <x:v>46158.625</x:v>
      </x:c>
      <x:c r="E73" s="25" t="str">
        <x:v>Sul</x:v>
      </x:c>
      <x:c r="F73" s="25" t="str">
        <x:v>Hidráulica leve</x:v>
      </x:c>
      <x:c r="G73" s="25" t="str">
        <x:v>EQ072</x:v>
      </x:c>
      <x:c r="H73" s="25" t="str">
        <x:v>Falha intermitente</x:v>
      </x:c>
      <x:c r="I73" s="34" t="b">
        <x:v>1</x:v>
      </x:c>
      <x:c r="J73" s="35" t="str">
        <x:v>Concluída</x:v>
      </x:c>
      <x:c r="K73" s="35" t="n">
        <x:v>1</x:v>
      </x:c>
      <x:c r="L73" s="35" t="n">
        <x:f>IF(J73="Concluída",1,0)</x:f>
        <x:v>1</x:v>
      </x:c>
      <x:c r="M73" s="35" t="n">
        <x:f>IF(AND(G73&lt;&gt;"",H73&lt;&gt;"",I73=TRUE),1,0)</x:f>
        <x:v>1</x:v>
      </x:c>
      <x:c r="N73" s="35" t="n">
        <x:v>0</x:v>
      </x:c>
      <x:c r="O73" s="39" t="str"/>
      <x:c r="P73" s="25" t="str">
        <x:v>TEC02</x:v>
      </x:c>
    </x:row>
    <x:row r="74">
      <x:c r="A74" s="25" t="str">
        <x:v>OS0073</x:v>
      </x:c>
      <x:c r="B74" s="25" t="str">
        <x:v>CL073</x:v>
      </x:c>
      <x:c r="C74" s="30" t="n">
        <x:v>46157.333333333336</x:v>
      </x:c>
      <x:c r="D74" s="30" t="n">
        <x:v>46159.333333333336</x:v>
      </x:c>
      <x:c r="E74" s="25" t="str">
        <x:v>Leste</x:v>
      </x:c>
      <x:c r="F74" s="25" t="str">
        <x:v>Elétrica leve</x:v>
      </x:c>
      <x:c r="G74" s="25" t="str">
        <x:v>EQ073</x:v>
      </x:c>
      <x:c r="H74" s="25" t="str">
        <x:v>Oscilação</x:v>
      </x:c>
      <x:c r="I74" s="34" t="b">
        <x:v>1</x:v>
      </x:c>
      <x:c r="J74" s="35" t="str">
        <x:v>Concluída</x:v>
      </x:c>
      <x:c r="K74" s="35" t="n">
        <x:v>1</x:v>
      </x:c>
      <x:c r="L74" s="35" t="n">
        <x:f>IF(J74="Concluída",1,0)</x:f>
        <x:v>1</x:v>
      </x:c>
      <x:c r="M74" s="35" t="n">
        <x:f>IF(AND(G74&lt;&gt;"",H74&lt;&gt;"",I74=TRUE),1,0)</x:f>
        <x:v>1</x:v>
      </x:c>
      <x:c r="N74" s="35" t="n">
        <x:v>0</x:v>
      </x:c>
      <x:c r="O74" s="39" t="str"/>
      <x:c r="P74" s="25" t="str">
        <x:v>TEC03</x:v>
      </x:c>
    </x:row>
    <x:row r="75">
      <x:c r="A75" s="25" t="str">
        <x:v>OS0074</x:v>
      </x:c>
      <x:c r="B75" s="25" t="str">
        <x:v>CL074</x:v>
      </x:c>
      <x:c r="C75" s="30" t="n">
        <x:v>46158.375</x:v>
      </x:c>
      <x:c r="D75" s="30" t="n">
        <x:v>46160.375</x:v>
      </x:c>
      <x:c r="E75" s="25" t="str">
        <x:v>Oeste</x:v>
      </x:c>
      <x:c r="F75" s="25" t="str">
        <x:v>Climatização</x:v>
      </x:c>
      <x:c r="G75" s="25" t="str">
        <x:v>EQ074</x:v>
      </x:c>
      <x:c r="H75" s="25" t="str">
        <x:v>Baixa eficiência</x:v>
      </x:c>
      <x:c r="I75" s="34" t="b">
        <x:v>1</x:v>
      </x:c>
      <x:c r="J75" s="35" t="str">
        <x:v>Concluída</x:v>
      </x:c>
      <x:c r="K75" s="35" t="n">
        <x:v>1</x:v>
      </x:c>
      <x:c r="L75" s="35" t="n">
        <x:f>IF(J75="Concluída",1,0)</x:f>
        <x:v>1</x:v>
      </x:c>
      <x:c r="M75" s="35" t="n">
        <x:f>IF(AND(G75&lt;&gt;"",H75&lt;&gt;"",I75=TRUE),1,0)</x:f>
        <x:v>1</x:v>
      </x:c>
      <x:c r="N75" s="35" t="n">
        <x:v>0</x:v>
      </x:c>
      <x:c r="O75" s="39" t="str"/>
      <x:c r="P75" s="25" t="str">
        <x:v>TEC04</x:v>
      </x:c>
    </x:row>
    <x:row r="76">
      <x:c r="A76" s="25" t="str">
        <x:v>OS0075</x:v>
      </x:c>
      <x:c r="B76" s="25" t="str">
        <x:v>CL075</x:v>
      </x:c>
      <x:c r="C76" s="30" t="n">
        <x:v>46159.416666666664</x:v>
      </x:c>
      <x:c r="D76" s="30" t="n">
        <x:v>46161.416666666664</x:v>
      </x:c>
      <x:c r="E76" s="25" t="str">
        <x:v>Centro</x:v>
      </x:c>
      <x:c r="F76" s="25" t="str">
        <x:v>Refrigeração</x:v>
      </x:c>
      <x:c r="G76" s="25" t="str">
        <x:v>EQ001</x:v>
      </x:c>
      <x:c r="H76" s="25" t="str">
        <x:v>Vazamento</x:v>
      </x:c>
      <x:c r="I76" s="34" t="b">
        <x:v>1</x:v>
      </x:c>
      <x:c r="J76" s="35" t="str">
        <x:v>Concluída</x:v>
      </x:c>
      <x:c r="K76" s="35" t="n">
        <x:v>1</x:v>
      </x:c>
      <x:c r="L76" s="35" t="n">
        <x:f>IF(J76="Concluída",1,0)</x:f>
        <x:v>1</x:v>
      </x:c>
      <x:c r="M76" s="35" t="n">
        <x:f>IF(AND(G76&lt;&gt;"",H76&lt;&gt;"",I76=TRUE),1,0)</x:f>
        <x:v>1</x:v>
      </x:c>
      <x:c r="N76" s="35" t="n">
        <x:v>0</x:v>
      </x:c>
      <x:c r="O76" s="39" t="str"/>
      <x:c r="P76" s="25" t="str">
        <x:v>TEC05</x:v>
      </x:c>
    </x:row>
    <x:row r="77">
      <x:c r="A77" s="25" t="str">
        <x:v>OS0076</x:v>
      </x:c>
      <x:c r="B77" s="25" t="str">
        <x:v>CL076</x:v>
      </x:c>
      <x:c r="C77" s="30" t="n">
        <x:v>46160.458333333336</x:v>
      </x:c>
      <x:c r="D77" s="30" t="n">
        <x:v>46162.458333333336</x:v>
      </x:c>
      <x:c r="E77" s="25" t="str">
        <x:v>Norte</x:v>
      </x:c>
      <x:c r="F77" s="25" t="str">
        <x:v>Hidráulica leve</x:v>
      </x:c>
      <x:c r="G77" s="25" t="str">
        <x:v>EQ002</x:v>
      </x:c>
      <x:c r="H77" s="25" t="str">
        <x:v>Falha intermitente</x:v>
      </x:c>
      <x:c r="I77" s="34" t="b">
        <x:v>1</x:v>
      </x:c>
      <x:c r="J77" s="35" t="str">
        <x:v>Concluída</x:v>
      </x:c>
      <x:c r="K77" s="35" t="n">
        <x:v>1</x:v>
      </x:c>
      <x:c r="L77" s="35" t="n">
        <x:f>IF(J77="Concluída",1,0)</x:f>
        <x:v>1</x:v>
      </x:c>
      <x:c r="M77" s="35" t="n">
        <x:f>IF(AND(G77&lt;&gt;"",H77&lt;&gt;"",I77=TRUE),1,0)</x:f>
        <x:v>1</x:v>
      </x:c>
      <x:c r="N77" s="35" t="n">
        <x:v>0</x:v>
      </x:c>
      <x:c r="O77" s="39" t="str"/>
      <x:c r="P77" s="25" t="str">
        <x:v>TEC06</x:v>
      </x:c>
    </x:row>
    <x:row r="78">
      <x:c r="A78" s="25" t="str">
        <x:v>OS0077</x:v>
      </x:c>
      <x:c r="B78" s="25" t="str">
        <x:v>CL077</x:v>
      </x:c>
      <x:c r="C78" s="30" t="n">
        <x:v>46161.5</x:v>
      </x:c>
      <x:c r="D78" s="30" t="n">
        <x:v>46163.5</x:v>
      </x:c>
      <x:c r="E78" s="25" t="str">
        <x:v>Sul</x:v>
      </x:c>
      <x:c r="F78" s="25" t="str">
        <x:v>Elétrica leve</x:v>
      </x:c>
      <x:c r="G78" s="25" t="str">
        <x:v>EQ003</x:v>
      </x:c>
      <x:c r="H78" s="25" t="str">
        <x:v>Oscilação</x:v>
      </x:c>
      <x:c r="I78" s="34" t="b">
        <x:v>1</x:v>
      </x:c>
      <x:c r="J78" s="35" t="str">
        <x:v>Concluída</x:v>
      </x:c>
      <x:c r="K78" s="35" t="n">
        <x:v>1</x:v>
      </x:c>
      <x:c r="L78" s="35" t="n">
        <x:f>IF(J78="Concluída",1,0)</x:f>
        <x:v>1</x:v>
      </x:c>
      <x:c r="M78" s="35" t="n">
        <x:f>IF(AND(G78&lt;&gt;"",H78&lt;&gt;"",I78=TRUE),1,0)</x:f>
        <x:v>1</x:v>
      </x:c>
      <x:c r="N78" s="35" t="n">
        <x:v>0</x:v>
      </x:c>
      <x:c r="O78" s="39" t="str"/>
      <x:c r="P78" s="25" t="str">
        <x:v>TEC07</x:v>
      </x:c>
    </x:row>
    <x:row r="79">
      <x:c r="A79" s="25" t="str">
        <x:v>OS0078</x:v>
      </x:c>
      <x:c r="B79" s="25" t="str">
        <x:v>CL078</x:v>
      </x:c>
      <x:c r="C79" s="30" t="n">
        <x:v>46162.541666666664</x:v>
      </x:c>
      <x:c r="D79" s="30" t="n">
        <x:v>46164.541666666664</x:v>
      </x:c>
      <x:c r="E79" s="25" t="str">
        <x:v>Leste</x:v>
      </x:c>
      <x:c r="F79" s="25" t="str">
        <x:v>Climatização</x:v>
      </x:c>
      <x:c r="G79" s="25" t="str">
        <x:v>EQ004</x:v>
      </x:c>
      <x:c r="H79" s="25" t="str">
        <x:v>Baixa eficiência</x:v>
      </x:c>
      <x:c r="I79" s="34" t="b">
        <x:v>1</x:v>
      </x:c>
      <x:c r="J79" s="35" t="str">
        <x:v>Concluída</x:v>
      </x:c>
      <x:c r="K79" s="35" t="n">
        <x:v>1</x:v>
      </x:c>
      <x:c r="L79" s="35" t="n">
        <x:f>IF(J79="Concluída",1,0)</x:f>
        <x:v>1</x:v>
      </x:c>
      <x:c r="M79" s="35" t="n">
        <x:f>IF(AND(G79&lt;&gt;"",H79&lt;&gt;"",I79=TRUE),1,0)</x:f>
        <x:v>1</x:v>
      </x:c>
      <x:c r="N79" s="35" t="n">
        <x:v>0</x:v>
      </x:c>
      <x:c r="O79" s="39" t="str"/>
      <x:c r="P79" s="25" t="str">
        <x:v>TEC01</x:v>
      </x:c>
    </x:row>
    <x:row r="80">
      <x:c r="A80" s="25" t="str">
        <x:v>OS0079</x:v>
      </x:c>
      <x:c r="B80" s="25" t="str">
        <x:v>CL079</x:v>
      </x:c>
      <x:c r="C80" s="30" t="n">
        <x:v>46163.583333333336</x:v>
      </x:c>
      <x:c r="D80" s="30" t="n">
        <x:v>46165.583333333336</x:v>
      </x:c>
      <x:c r="E80" s="25" t="str">
        <x:v>Oeste</x:v>
      </x:c>
      <x:c r="F80" s="25" t="str">
        <x:v>Refrigeração</x:v>
      </x:c>
      <x:c r="G80" s="25" t="str">
        <x:v>EQ005</x:v>
      </x:c>
      <x:c r="H80" s="25" t="str">
        <x:v>Vazamento</x:v>
      </x:c>
      <x:c r="I80" s="34" t="b">
        <x:v>1</x:v>
      </x:c>
      <x:c r="J80" s="35" t="str">
        <x:v>Concluída</x:v>
      </x:c>
      <x:c r="K80" s="35" t="n">
        <x:v>1</x:v>
      </x:c>
      <x:c r="L80" s="35" t="n">
        <x:f>IF(J80="Concluída",1,0)</x:f>
        <x:v>1</x:v>
      </x:c>
      <x:c r="M80" s="35" t="n">
        <x:f>IF(AND(G80&lt;&gt;"",H80&lt;&gt;"",I80=TRUE),1,0)</x:f>
        <x:v>1</x:v>
      </x:c>
      <x:c r="N80" s="35" t="n">
        <x:v>0</x:v>
      </x:c>
      <x:c r="O80" s="39" t="str"/>
      <x:c r="P80" s="25" t="str">
        <x:v>TEC02</x:v>
      </x:c>
    </x:row>
    <x:row r="81">
      <x:c r="A81" s="25" t="str">
        <x:v>OS0080</x:v>
      </x:c>
      <x:c r="B81" s="25" t="str">
        <x:v>CL080</x:v>
      </x:c>
      <x:c r="C81" s="30" t="n">
        <x:v>46164.625</x:v>
      </x:c>
      <x:c r="D81" s="30" t="n">
        <x:v>46166.625</x:v>
      </x:c>
      <x:c r="E81" s="25" t="str">
        <x:v>Centro</x:v>
      </x:c>
      <x:c r="F81" s="25" t="str">
        <x:v>Hidráulica leve</x:v>
      </x:c>
      <x:c r="G81" s="25" t="str">
        <x:v>EQ006</x:v>
      </x:c>
      <x:c r="H81" s="25" t="str">
        <x:v>Falha intermitente</x:v>
      </x:c>
      <x:c r="I81" s="34" t="b">
        <x:v>1</x:v>
      </x:c>
      <x:c r="J81" s="35" t="str">
        <x:v>Concluída</x:v>
      </x:c>
      <x:c r="K81" s="35" t="n">
        <x:v>1</x:v>
      </x:c>
      <x:c r="L81" s="35" t="n">
        <x:f>IF(J81="Concluída",1,0)</x:f>
        <x:v>1</x:v>
      </x:c>
      <x:c r="M81" s="35" t="n">
        <x:f>IF(AND(G81&lt;&gt;"",H81&lt;&gt;"",I81=TRUE),1,0)</x:f>
        <x:v>1</x:v>
      </x:c>
      <x:c r="N81" s="35" t="n">
        <x:v>0</x:v>
      </x:c>
      <x:c r="O81" s="39" t="str"/>
      <x:c r="P81" s="25" t="str">
        <x:v>TEC03</x:v>
      </x:c>
    </x:row>
    <x:row r="82">
      <x:c r="A82" s="25" t="str">
        <x:v>OS0081</x:v>
      </x:c>
      <x:c r="B82" s="25" t="str">
        <x:v>CL081</x:v>
      </x:c>
      <x:c r="C82" s="30" t="n">
        <x:v>46165.333333333336</x:v>
      </x:c>
      <x:c r="D82" s="30" t="n">
        <x:v>46167.333333333336</x:v>
      </x:c>
      <x:c r="E82" s="25" t="str">
        <x:v>Norte</x:v>
      </x:c>
      <x:c r="F82" s="25" t="str">
        <x:v>Elétrica leve</x:v>
      </x:c>
      <x:c r="G82" s="25" t="str">
        <x:v>EQ007</x:v>
      </x:c>
      <x:c r="H82" s="25" t="str">
        <x:v>Oscilação</x:v>
      </x:c>
      <x:c r="I82" s="34" t="b">
        <x:v>1</x:v>
      </x:c>
      <x:c r="J82" s="35" t="str">
        <x:v>Concluída</x:v>
      </x:c>
      <x:c r="K82" s="35" t="n">
        <x:v>1</x:v>
      </x:c>
      <x:c r="L82" s="35" t="n">
        <x:f>IF(J82="Concluída",1,0)</x:f>
        <x:v>1</x:v>
      </x:c>
      <x:c r="M82" s="35" t="n">
        <x:f>IF(AND(G82&lt;&gt;"",H82&lt;&gt;"",I82=TRUE),1,0)</x:f>
        <x:v>1</x:v>
      </x:c>
      <x:c r="N82" s="35" t="n">
        <x:v>0</x:v>
      </x:c>
      <x:c r="O82" s="39" t="str"/>
      <x:c r="P82" s="25" t="str">
        <x:v>TEC04</x:v>
      </x:c>
    </x:row>
    <x:row r="83">
      <x:c r="A83" s="25" t="str">
        <x:v>OS0082</x:v>
      </x:c>
      <x:c r="B83" s="25" t="str">
        <x:v>CL082</x:v>
      </x:c>
      <x:c r="C83" s="30" t="n">
        <x:v>46166.375</x:v>
      </x:c>
      <x:c r="D83" s="30" t="n">
        <x:v>46168.375</x:v>
      </x:c>
      <x:c r="E83" s="25" t="str">
        <x:v>Sul</x:v>
      </x:c>
      <x:c r="F83" s="25" t="str">
        <x:v>Climatização</x:v>
      </x:c>
      <x:c r="G83" s="25" t="str">
        <x:v>EQ008</x:v>
      </x:c>
      <x:c r="H83" s="25" t="str">
        <x:v>Baixa eficiência</x:v>
      </x:c>
      <x:c r="I83" s="34" t="b">
        <x:v>1</x:v>
      </x:c>
      <x:c r="J83" s="35" t="str">
        <x:v>Concluída</x:v>
      </x:c>
      <x:c r="K83" s="35" t="n">
        <x:v>1</x:v>
      </x:c>
      <x:c r="L83" s="35" t="n">
        <x:f>IF(J83="Concluída",1,0)</x:f>
        <x:v>1</x:v>
      </x:c>
      <x:c r="M83" s="35" t="n">
        <x:f>IF(AND(G83&lt;&gt;"",H83&lt;&gt;"",I83=TRUE),1,0)</x:f>
        <x:v>1</x:v>
      </x:c>
      <x:c r="N83" s="35" t="n">
        <x:v>0</x:v>
      </x:c>
      <x:c r="O83" s="39" t="str"/>
      <x:c r="P83" s="25" t="str">
        <x:v>TEC05</x:v>
      </x:c>
    </x:row>
    <x:row r="84">
      <x:c r="A84" s="25" t="str">
        <x:v>OS0083</x:v>
      </x:c>
      <x:c r="B84" s="25" t="str">
        <x:v>CL083</x:v>
      </x:c>
      <x:c r="C84" s="30" t="n">
        <x:v>46167.416666666664</x:v>
      </x:c>
      <x:c r="D84" s="30" t="n">
        <x:v>46169.416666666664</x:v>
      </x:c>
      <x:c r="E84" s="25" t="str">
        <x:v>Leste</x:v>
      </x:c>
      <x:c r="F84" s="25" t="str">
        <x:v>Refrigeração</x:v>
      </x:c>
      <x:c r="G84" s="25" t="str">
        <x:v>EQ009</x:v>
      </x:c>
      <x:c r="H84" s="25" t="str">
        <x:v>Vazamento</x:v>
      </x:c>
      <x:c r="I84" s="34" t="b">
        <x:v>1</x:v>
      </x:c>
      <x:c r="J84" s="35" t="str">
        <x:v>Concluída</x:v>
      </x:c>
      <x:c r="K84" s="35" t="n">
        <x:v>1</x:v>
      </x:c>
      <x:c r="L84" s="35" t="n">
        <x:f>IF(J84="Concluída",1,0)</x:f>
        <x:v>1</x:v>
      </x:c>
      <x:c r="M84" s="35" t="n">
        <x:f>IF(AND(G84&lt;&gt;"",H84&lt;&gt;"",I84=TRUE),1,0)</x:f>
        <x:v>1</x:v>
      </x:c>
      <x:c r="N84" s="35" t="n">
        <x:v>0</x:v>
      </x:c>
      <x:c r="O84" s="39" t="str"/>
      <x:c r="P84" s="25" t="str">
        <x:v>TEC06</x:v>
      </x:c>
    </x:row>
    <x:row r="85">
      <x:c r="A85" s="25" t="str">
        <x:v>OS0084</x:v>
      </x:c>
      <x:c r="B85" s="25" t="str">
        <x:v>CL084</x:v>
      </x:c>
      <x:c r="C85" s="30" t="n">
        <x:v>46168.458333333336</x:v>
      </x:c>
      <x:c r="D85" s="30" t="n">
        <x:v>46170.458333333336</x:v>
      </x:c>
      <x:c r="E85" s="25" t="str">
        <x:v>Oeste</x:v>
      </x:c>
      <x:c r="F85" s="25" t="str">
        <x:v>Hidráulica leve</x:v>
      </x:c>
      <x:c r="G85" s="25" t="str">
        <x:v>EQ010</x:v>
      </x:c>
      <x:c r="H85" s="25" t="str">
        <x:v>Falha intermitente</x:v>
      </x:c>
      <x:c r="I85" s="34" t="b">
        <x:v>1</x:v>
      </x:c>
      <x:c r="J85" s="35" t="str">
        <x:v>Concluída</x:v>
      </x:c>
      <x:c r="K85" s="35" t="n">
        <x:v>1</x:v>
      </x:c>
      <x:c r="L85" s="35" t="n">
        <x:f>IF(J85="Concluída",1,0)</x:f>
        <x:v>1</x:v>
      </x:c>
      <x:c r="M85" s="35" t="n">
        <x:f>IF(AND(G85&lt;&gt;"",H85&lt;&gt;"",I85=TRUE),1,0)</x:f>
        <x:v>1</x:v>
      </x:c>
      <x:c r="N85" s="35" t="n">
        <x:v>0</x:v>
      </x:c>
      <x:c r="O85" s="39" t="str"/>
      <x:c r="P85" s="25" t="str">
        <x:v>TEC07</x:v>
      </x:c>
    </x:row>
    <x:row r="86">
      <x:c r="A86" s="25" t="str">
        <x:v>OS0085</x:v>
      </x:c>
      <x:c r="B86" s="25" t="str">
        <x:v>CL085</x:v>
      </x:c>
      <x:c r="C86" s="30" t="n">
        <x:v>46143.25</x:v>
      </x:c>
      <x:c r="D86" s="30" t="n">
        <x:v>46143.5</x:v>
      </x:c>
      <x:c r="E86" s="25" t="str">
        <x:v>Centro</x:v>
      </x:c>
      <x:c r="F86" s="25" t="str">
        <x:v>Elétrica leve</x:v>
      </x:c>
      <x:c r="G86" s="25" t="str">
        <x:v>EQ011</x:v>
      </x:c>
      <x:c r="H86" s="25" t="str">
        <x:v>Oscilação</x:v>
      </x:c>
      <x:c r="I86" s="34" t="b">
        <x:v>1</x:v>
      </x:c>
      <x:c r="J86" s="35" t="str">
        <x:v>Concluída</x:v>
      </x:c>
      <x:c r="K86" s="35" t="n">
        <x:v>1</x:v>
      </x:c>
      <x:c r="L86" s="35" t="n">
        <x:f>IF(J86="Concluída",1,0)</x:f>
        <x:v>1</x:v>
      </x:c>
      <x:c r="M86" s="35" t="n">
        <x:f>IF(AND(G86&lt;&gt;"",H86&lt;&gt;"",I86=TRUE),1,0)</x:f>
        <x:v>1</x:v>
      </x:c>
      <x:c r="N86" s="35" t="n">
        <x:v>0</x:v>
      </x:c>
      <x:c r="O86" s="39" t="str"/>
      <x:c r="P86" s="25" t="str">
        <x:v>TEC01</x:v>
      </x:c>
    </x:row>
    <x:row r="87">
      <x:c r="A87" s="25" t="str">
        <x:v>OS0086</x:v>
      </x:c>
      <x:c r="B87" s="25" t="str">
        <x:v>CL086</x:v>
      </x:c>
      <x:c r="C87" s="30" t="n">
        <x:v>46143.25</x:v>
      </x:c>
      <x:c r="D87" s="30" t="n">
        <x:v>46144.541666666664</x:v>
      </x:c>
      <x:c r="E87" s="25" t="str">
        <x:v>Norte</x:v>
      </x:c>
      <x:c r="F87" s="25" t="str">
        <x:v>Climatização</x:v>
      </x:c>
      <x:c r="G87" s="25" t="str">
        <x:v>EQ012</x:v>
      </x:c>
      <x:c r="H87" s="25" t="str">
        <x:v>Baixa eficiência</x:v>
      </x:c>
      <x:c r="I87" s="34" t="b">
        <x:v>1</x:v>
      </x:c>
      <x:c r="J87" s="35" t="str">
        <x:v>Concluída</x:v>
      </x:c>
      <x:c r="K87" s="35" t="n">
        <x:v>1</x:v>
      </x:c>
      <x:c r="L87" s="35" t="n">
        <x:f>IF(J87="Concluída",1,0)</x:f>
        <x:v>1</x:v>
      </x:c>
      <x:c r="M87" s="35" t="n">
        <x:f>IF(AND(G87&lt;&gt;"",H87&lt;&gt;"",I87=TRUE),1,0)</x:f>
        <x:v>1</x:v>
      </x:c>
      <x:c r="N87" s="35" t="n">
        <x:v>0</x:v>
      </x:c>
      <x:c r="O87" s="39" t="str"/>
      <x:c r="P87" s="25" t="str">
        <x:v>TEC02</x:v>
      </x:c>
    </x:row>
    <x:row r="88">
      <x:c r="A88" s="25" t="str">
        <x:v>OS0087</x:v>
      </x:c>
      <x:c r="B88" s="25" t="str">
        <x:v>CL001</x:v>
      </x:c>
      <x:c r="C88" s="30" t="n">
        <x:v>46143.583333333336</x:v>
      </x:c>
      <x:c r="D88" s="30" t="n">
        <x:v>46145.583333333336</x:v>
      </x:c>
      <x:c r="E88" s="25" t="str">
        <x:v>Sul</x:v>
      </x:c>
      <x:c r="F88" s="25" t="str">
        <x:v>Refrigeração</x:v>
      </x:c>
      <x:c r="G88" s="25" t="str">
        <x:v>EQ013</x:v>
      </x:c>
      <x:c r="H88" s="25" t="str">
        <x:v>Vazamento</x:v>
      </x:c>
      <x:c r="I88" s="34" t="b">
        <x:v>1</x:v>
      </x:c>
      <x:c r="J88" s="35" t="str">
        <x:v>Concluída</x:v>
      </x:c>
      <x:c r="K88" s="35" t="n">
        <x:v>1</x:v>
      </x:c>
      <x:c r="L88" s="35" t="n">
        <x:f>IF(J88="Concluída",1,0)</x:f>
        <x:v>1</x:v>
      </x:c>
      <x:c r="M88" s="35" t="n">
        <x:f>IF(AND(G88&lt;&gt;"",H88&lt;&gt;"",I88=TRUE),1,0)</x:f>
        <x:v>1</x:v>
      </x:c>
      <x:c r="N88" s="35" t="n">
        <x:v>0</x:v>
      </x:c>
      <x:c r="O88" s="39" t="str"/>
      <x:c r="P88" s="25" t="str">
        <x:v>TEC03</x:v>
      </x:c>
    </x:row>
    <x:row r="89">
      <x:c r="A89" s="25" t="str">
        <x:v>OS0088</x:v>
      </x:c>
      <x:c r="B89" s="25" t="str">
        <x:v>CL002</x:v>
      </x:c>
      <x:c r="C89" s="30" t="n">
        <x:v>46144.625</x:v>
      </x:c>
      <x:c r="D89" s="30" t="n">
        <x:v>46146.625</x:v>
      </x:c>
      <x:c r="E89" s="25" t="str">
        <x:v>Leste</x:v>
      </x:c>
      <x:c r="F89" s="25" t="str">
        <x:v>Hidráulica leve</x:v>
      </x:c>
      <x:c r="G89" s="25" t="str">
        <x:v>EQ014</x:v>
      </x:c>
      <x:c r="H89" s="25" t="str">
        <x:v>Falha intermitente</x:v>
      </x:c>
      <x:c r="I89" s="34" t="b">
        <x:v>1</x:v>
      </x:c>
      <x:c r="J89" s="35" t="str">
        <x:v>Concluída</x:v>
      </x:c>
      <x:c r="K89" s="35" t="n">
        <x:v>1</x:v>
      </x:c>
      <x:c r="L89" s="35" t="n">
        <x:f>IF(J89="Concluída",1,0)</x:f>
        <x:v>1</x:v>
      </x:c>
      <x:c r="M89" s="35" t="n">
        <x:f>IF(AND(G89&lt;&gt;"",H89&lt;&gt;"",I89=TRUE),1,0)</x:f>
        <x:v>1</x:v>
      </x:c>
      <x:c r="N89" s="35" t="n">
        <x:v>0</x:v>
      </x:c>
      <x:c r="O89" s="39" t="str"/>
      <x:c r="P89" s="25" t="str">
        <x:v>TEC04</x:v>
      </x:c>
    </x:row>
    <x:row r="90">
      <x:c r="A90" s="25" t="str">
        <x:v>OS0089</x:v>
      </x:c>
      <x:c r="B90" s="25" t="str">
        <x:v>CL003</x:v>
      </x:c>
      <x:c r="C90" s="30" t="n">
        <x:v>46145.333333333336</x:v>
      </x:c>
      <x:c r="D90" s="30" t="n">
        <x:v>46147.333333333336</x:v>
      </x:c>
      <x:c r="E90" s="25" t="str">
        <x:v>Oeste</x:v>
      </x:c>
      <x:c r="F90" s="25" t="str">
        <x:v>Elétrica leve</x:v>
      </x:c>
      <x:c r="G90" s="25" t="str">
        <x:v>EQ015</x:v>
      </x:c>
      <x:c r="H90" s="25" t="str">
        <x:v>Oscilação</x:v>
      </x:c>
      <x:c r="I90" s="34" t="b">
        <x:v>1</x:v>
      </x:c>
      <x:c r="J90" s="35" t="str">
        <x:v>Concluída</x:v>
      </x:c>
      <x:c r="K90" s="35" t="n">
        <x:v>1</x:v>
      </x:c>
      <x:c r="L90" s="35" t="n">
        <x:f>IF(J90="Concluída",1,0)</x:f>
        <x:v>1</x:v>
      </x:c>
      <x:c r="M90" s="35" t="n">
        <x:f>IF(AND(G90&lt;&gt;"",H90&lt;&gt;"",I90=TRUE),1,0)</x:f>
        <x:v>1</x:v>
      </x:c>
      <x:c r="N90" s="35" t="n">
        <x:v>0</x:v>
      </x:c>
      <x:c r="O90" s="39" t="str"/>
      <x:c r="P90" s="25" t="str">
        <x:v>TEC05</x:v>
      </x:c>
    </x:row>
    <x:row r="91">
      <x:c r="A91" s="25" t="str">
        <x:v>OS0090</x:v>
      </x:c>
      <x:c r="B91" s="25" t="str">
        <x:v>CL004</x:v>
      </x:c>
      <x:c r="C91" s="30" t="n">
        <x:v>46146.375</x:v>
      </x:c>
      <x:c r="D91" s="30" t="n">
        <x:v>46148.375</x:v>
      </x:c>
      <x:c r="E91" s="25" t="str">
        <x:v>Centro</x:v>
      </x:c>
      <x:c r="F91" s="25" t="str">
        <x:v>Climatização</x:v>
      </x:c>
      <x:c r="G91" s="25" t="str">
        <x:v>EQ016</x:v>
      </x:c>
      <x:c r="H91" s="25" t="str">
        <x:v>Baixa eficiência</x:v>
      </x:c>
      <x:c r="I91" s="34" t="b">
        <x:v>1</x:v>
      </x:c>
      <x:c r="J91" s="35" t="str">
        <x:v>Concluída</x:v>
      </x:c>
      <x:c r="K91" s="35" t="n">
        <x:v>1</x:v>
      </x:c>
      <x:c r="L91" s="35" t="n">
        <x:f>IF(J91="Concluída",1,0)</x:f>
        <x:v>1</x:v>
      </x:c>
      <x:c r="M91" s="35" t="n">
        <x:f>IF(AND(G91&lt;&gt;"",H91&lt;&gt;"",I91=TRUE),1,0)</x:f>
        <x:v>1</x:v>
      </x:c>
      <x:c r="N91" s="35" t="n">
        <x:v>0</x:v>
      </x:c>
      <x:c r="O91" s="39" t="str"/>
      <x:c r="P91" s="25" t="str">
        <x:v>TEC06</x:v>
      </x:c>
    </x:row>
    <x:row r="92">
      <x:c r="A92" s="25" t="str">
        <x:v>OS0091</x:v>
      </x:c>
      <x:c r="B92" s="25" t="str">
        <x:v>CL005</x:v>
      </x:c>
      <x:c r="C92" s="30" t="n">
        <x:v>46147.416666666664</x:v>
      </x:c>
      <x:c r="D92" s="30" t="n">
        <x:v>46149.416666666664</x:v>
      </x:c>
      <x:c r="E92" s="25" t="str">
        <x:v>Norte</x:v>
      </x:c>
      <x:c r="F92" s="25" t="str">
        <x:v>Refrigeração</x:v>
      </x:c>
      <x:c r="G92" s="25" t="str">
        <x:v>EQ017</x:v>
      </x:c>
      <x:c r="H92" s="25" t="str">
        <x:v>Vazamento</x:v>
      </x:c>
      <x:c r="I92" s="34" t="b">
        <x:v>1</x:v>
      </x:c>
      <x:c r="J92" s="35" t="str">
        <x:v>Concluída</x:v>
      </x:c>
      <x:c r="K92" s="35" t="n">
        <x:v>1</x:v>
      </x:c>
      <x:c r="L92" s="35" t="n">
        <x:f>IF(J92="Concluída",1,0)</x:f>
        <x:v>1</x:v>
      </x:c>
      <x:c r="M92" s="35" t="n">
        <x:f>IF(AND(G92&lt;&gt;"",H92&lt;&gt;"",I92=TRUE),1,0)</x:f>
        <x:v>1</x:v>
      </x:c>
      <x:c r="N92" s="35" t="n">
        <x:v>0</x:v>
      </x:c>
      <x:c r="O92" s="39" t="str"/>
      <x:c r="P92" s="25" t="str">
        <x:v>TEC07</x:v>
      </x:c>
    </x:row>
    <x:row r="93">
      <x:c r="A93" s="25" t="str">
        <x:v>OS0092</x:v>
      </x:c>
      <x:c r="B93" s="25" t="str">
        <x:v>CL006</x:v>
      </x:c>
      <x:c r="C93" s="30" t="n">
        <x:v>46148.458333333336</x:v>
      </x:c>
      <x:c r="D93" s="30" t="n">
        <x:v>46150.458333333336</x:v>
      </x:c>
      <x:c r="E93" s="25" t="str">
        <x:v>Sul</x:v>
      </x:c>
      <x:c r="F93" s="25" t="str">
        <x:v>Hidráulica leve</x:v>
      </x:c>
      <x:c r="G93" s="25" t="str">
        <x:v>EQ018</x:v>
      </x:c>
      <x:c r="H93" s="25" t="str">
        <x:v>Falha intermitente</x:v>
      </x:c>
      <x:c r="I93" s="34" t="b">
        <x:v>1</x:v>
      </x:c>
      <x:c r="J93" s="35" t="str">
        <x:v>Concluída</x:v>
      </x:c>
      <x:c r="K93" s="35" t="n">
        <x:v>1</x:v>
      </x:c>
      <x:c r="L93" s="35" t="n">
        <x:f>IF(J93="Concluída",1,0)</x:f>
        <x:v>1</x:v>
      </x:c>
      <x:c r="M93" s="35" t="n">
        <x:f>IF(AND(G93&lt;&gt;"",H93&lt;&gt;"",I93=TRUE),1,0)</x:f>
        <x:v>1</x:v>
      </x:c>
      <x:c r="N93" s="35" t="n">
        <x:v>0</x:v>
      </x:c>
      <x:c r="O93" s="39" t="str"/>
      <x:c r="P93" s="25" t="str">
        <x:v>TEC01</x:v>
      </x:c>
    </x:row>
    <x:row r="94">
      <x:c r="A94" s="25" t="str">
        <x:v>OS0093</x:v>
      </x:c>
      <x:c r="B94" s="25" t="str">
        <x:v>CL007</x:v>
      </x:c>
      <x:c r="C94" s="30" t="n">
        <x:v>46149.5</x:v>
      </x:c>
      <x:c r="D94" s="30" t="n">
        <x:v>46151.5</x:v>
      </x:c>
      <x:c r="E94" s="25" t="str">
        <x:v>Leste</x:v>
      </x:c>
      <x:c r="F94" s="25" t="str">
        <x:v>Elétrica leve</x:v>
      </x:c>
      <x:c r="G94" s="25" t="str">
        <x:v>EQ019</x:v>
      </x:c>
      <x:c r="H94" s="25" t="str">
        <x:v>Oscilação</x:v>
      </x:c>
      <x:c r="I94" s="34" t="b">
        <x:v>1</x:v>
      </x:c>
      <x:c r="J94" s="35" t="str">
        <x:v>Concluída</x:v>
      </x:c>
      <x:c r="K94" s="35" t="n">
        <x:v>1</x:v>
      </x:c>
      <x:c r="L94" s="35" t="n">
        <x:f>IF(J94="Concluída",1,0)</x:f>
        <x:v>1</x:v>
      </x:c>
      <x:c r="M94" s="35" t="n">
        <x:f>IF(AND(G94&lt;&gt;"",H94&lt;&gt;"",I94=TRUE),1,0)</x:f>
        <x:v>1</x:v>
      </x:c>
      <x:c r="N94" s="35" t="n">
        <x:v>0</x:v>
      </x:c>
      <x:c r="O94" s="39" t="str"/>
      <x:c r="P94" s="25" t="str">
        <x:v>TEC02</x:v>
      </x:c>
    </x:row>
    <x:row r="95">
      <x:c r="A95" s="25" t="str">
        <x:v>OS0094</x:v>
      </x:c>
      <x:c r="B95" s="25" t="str">
        <x:v>CL008</x:v>
      </x:c>
      <x:c r="C95" s="30" t="n">
        <x:v>46150.541666666664</x:v>
      </x:c>
      <x:c r="D95" s="30" t="n">
        <x:v>46152.541666666664</x:v>
      </x:c>
      <x:c r="E95" s="25" t="str">
        <x:v>Oeste</x:v>
      </x:c>
      <x:c r="F95" s="25" t="str">
        <x:v>Climatização</x:v>
      </x:c>
      <x:c r="G95" s="25" t="str">
        <x:v>EQ020</x:v>
      </x:c>
      <x:c r="H95" s="25" t="str">
        <x:v>Baixa eficiência</x:v>
      </x:c>
      <x:c r="I95" s="34" t="b">
        <x:v>1</x:v>
      </x:c>
      <x:c r="J95" s="35" t="str">
        <x:v>Concluída</x:v>
      </x:c>
      <x:c r="K95" s="35" t="n">
        <x:v>1</x:v>
      </x:c>
      <x:c r="L95" s="35" t="n">
        <x:f>IF(J95="Concluída",1,0)</x:f>
        <x:v>1</x:v>
      </x:c>
      <x:c r="M95" s="35" t="n">
        <x:f>IF(AND(G95&lt;&gt;"",H95&lt;&gt;"",I95=TRUE),1,0)</x:f>
        <x:v>1</x:v>
      </x:c>
      <x:c r="N95" s="35" t="n">
        <x:v>0</x:v>
      </x:c>
      <x:c r="O95" s="39" t="str"/>
      <x:c r="P95" s="25" t="str">
        <x:v>TEC03</x:v>
      </x:c>
    </x:row>
    <x:row r="96">
      <x:c r="A96" s="25" t="str">
        <x:v>OS0095</x:v>
      </x:c>
      <x:c r="B96" s="25" t="str">
        <x:v>CL009</x:v>
      </x:c>
      <x:c r="C96" s="30" t="n">
        <x:v>46151.583333333336</x:v>
      </x:c>
      <x:c r="D96" s="30" t="n">
        <x:v>46153.583333333336</x:v>
      </x:c>
      <x:c r="E96" s="25" t="str">
        <x:v>Centro</x:v>
      </x:c>
      <x:c r="F96" s="25" t="str">
        <x:v>Refrigeração</x:v>
      </x:c>
      <x:c r="G96" s="25" t="str">
        <x:v>EQ021</x:v>
      </x:c>
      <x:c r="H96" s="25" t="str">
        <x:v>Vazamento</x:v>
      </x:c>
      <x:c r="I96" s="34" t="b">
        <x:v>1</x:v>
      </x:c>
      <x:c r="J96" s="35" t="str">
        <x:v>Concluída</x:v>
      </x:c>
      <x:c r="K96" s="35" t="n">
        <x:v>1</x:v>
      </x:c>
      <x:c r="L96" s="35" t="n">
        <x:f>IF(J96="Concluída",1,0)</x:f>
        <x:v>1</x:v>
      </x:c>
      <x:c r="M96" s="35" t="n">
        <x:f>IF(AND(G96&lt;&gt;"",H96&lt;&gt;"",I96=TRUE),1,0)</x:f>
        <x:v>1</x:v>
      </x:c>
      <x:c r="N96" s="35" t="n">
        <x:v>0</x:v>
      </x:c>
      <x:c r="O96" s="39" t="str"/>
      <x:c r="P96" s="25" t="str">
        <x:v>TEC04</x:v>
      </x:c>
    </x:row>
    <x:row r="97">
      <x:c r="A97" s="25" t="str">
        <x:v>OS0096</x:v>
      </x:c>
      <x:c r="B97" s="25" t="str">
        <x:v>CL010</x:v>
      </x:c>
      <x:c r="C97" s="30" t="n">
        <x:v>46152.625</x:v>
      </x:c>
      <x:c r="D97" s="30" t="n">
        <x:v>46154.625</x:v>
      </x:c>
      <x:c r="E97" s="25" t="str">
        <x:v>Norte</x:v>
      </x:c>
      <x:c r="F97" s="25" t="str">
        <x:v>Hidráulica leve</x:v>
      </x:c>
      <x:c r="G97" s="25" t="str">
        <x:v>EQ022</x:v>
      </x:c>
      <x:c r="H97" s="25" t="str">
        <x:v>Falha intermitente</x:v>
      </x:c>
      <x:c r="I97" s="34" t="b">
        <x:v>1</x:v>
      </x:c>
      <x:c r="J97" s="35" t="str">
        <x:v>Concluída</x:v>
      </x:c>
      <x:c r="K97" s="35" t="n">
        <x:v>1</x:v>
      </x:c>
      <x:c r="L97" s="35" t="n">
        <x:f>IF(J97="Concluída",1,0)</x:f>
        <x:v>1</x:v>
      </x:c>
      <x:c r="M97" s="35" t="n">
        <x:f>IF(AND(G97&lt;&gt;"",H97&lt;&gt;"",I97=TRUE),1,0)</x:f>
        <x:v>1</x:v>
      </x:c>
      <x:c r="N97" s="35" t="n">
        <x:v>0</x:v>
      </x:c>
      <x:c r="O97" s="39" t="str"/>
      <x:c r="P97" s="25" t="str">
        <x:v>TEC05</x:v>
      </x:c>
    </x:row>
    <x:row r="98">
      <x:c r="A98" s="25" t="str">
        <x:v>OS0097</x:v>
      </x:c>
      <x:c r="B98" s="25" t="str">
        <x:v>CL011</x:v>
      </x:c>
      <x:c r="C98" s="30" t="n">
        <x:v>46153.333333333336</x:v>
      </x:c>
      <x:c r="D98" s="30" t="n">
        <x:v>46155.333333333336</x:v>
      </x:c>
      <x:c r="E98" s="25" t="str">
        <x:v>Sul</x:v>
      </x:c>
      <x:c r="F98" s="25" t="str">
        <x:v>Elétrica leve</x:v>
      </x:c>
      <x:c r="G98" s="25" t="str">
        <x:v>EQ023</x:v>
      </x:c>
      <x:c r="H98" s="25" t="str">
        <x:v>Oscilação</x:v>
      </x:c>
      <x:c r="I98" s="34" t="b">
        <x:v>1</x:v>
      </x:c>
      <x:c r="J98" s="35" t="str">
        <x:v>Concluída</x:v>
      </x:c>
      <x:c r="K98" s="35" t="n">
        <x:v>1</x:v>
      </x:c>
      <x:c r="L98" s="35" t="n">
        <x:f>IF(J98="Concluída",1,0)</x:f>
        <x:v>1</x:v>
      </x:c>
      <x:c r="M98" s="35" t="n">
        <x:f>IF(AND(G98&lt;&gt;"",H98&lt;&gt;"",I98=TRUE),1,0)</x:f>
        <x:v>1</x:v>
      </x:c>
      <x:c r="N98" s="35" t="n">
        <x:v>0</x:v>
      </x:c>
      <x:c r="O98" s="39" t="str"/>
      <x:c r="P98" s="25" t="str">
        <x:v>TEC06</x:v>
      </x:c>
    </x:row>
    <x:row r="99">
      <x:c r="A99" s="25" t="str">
        <x:v>OS0098</x:v>
      </x:c>
      <x:c r="B99" s="25" t="str">
        <x:v>CL012</x:v>
      </x:c>
      <x:c r="C99" s="30" t="n">
        <x:v>46154.375</x:v>
      </x:c>
      <x:c r="D99" s="30" t="n">
        <x:v>46156.375</x:v>
      </x:c>
      <x:c r="E99" s="25" t="str">
        <x:v>Leste</x:v>
      </x:c>
      <x:c r="F99" s="25" t="str">
        <x:v>Climatização</x:v>
      </x:c>
      <x:c r="G99" s="25" t="str">
        <x:v>EQ024</x:v>
      </x:c>
      <x:c r="H99" s="25" t="str">
        <x:v>Baixa eficiência</x:v>
      </x:c>
      <x:c r="I99" s="34" t="b">
        <x:v>1</x:v>
      </x:c>
      <x:c r="J99" s="35" t="str">
        <x:v>Concluída</x:v>
      </x:c>
      <x:c r="K99" s="35" t="n">
        <x:v>1</x:v>
      </x:c>
      <x:c r="L99" s="35" t="n">
        <x:f>IF(J99="Concluída",1,0)</x:f>
        <x:v>1</x:v>
      </x:c>
      <x:c r="M99" s="35" t="n">
        <x:f>IF(AND(G99&lt;&gt;"",H99&lt;&gt;"",I99=TRUE),1,0)</x:f>
        <x:v>1</x:v>
      </x:c>
      <x:c r="N99" s="35" t="n">
        <x:v>0</x:v>
      </x:c>
      <x:c r="O99" s="39" t="str"/>
      <x:c r="P99" s="25" t="str">
        <x:v>TEC07</x:v>
      </x:c>
    </x:row>
    <x:row r="100">
      <x:c r="A100" s="25" t="str">
        <x:v>OS0099</x:v>
      </x:c>
      <x:c r="B100" s="25" t="str">
        <x:v>CL013</x:v>
      </x:c>
      <x:c r="C100" s="30" t="n">
        <x:v>46155.416666666664</x:v>
      </x:c>
      <x:c r="D100" s="30" t="n">
        <x:v>46157.416666666664</x:v>
      </x:c>
      <x:c r="E100" s="25" t="str">
        <x:v>Oeste</x:v>
      </x:c>
      <x:c r="F100" s="25" t="str">
        <x:v>Refrigeração</x:v>
      </x:c>
      <x:c r="G100" s="25" t="str">
        <x:v>EQ025</x:v>
      </x:c>
      <x:c r="H100" s="25" t="str">
        <x:v>Vazamento</x:v>
      </x:c>
      <x:c r="I100" s="34" t="b">
        <x:v>1</x:v>
      </x:c>
      <x:c r="J100" s="35" t="str">
        <x:v>Concluída</x:v>
      </x:c>
      <x:c r="K100" s="35" t="n">
        <x:v>1</x:v>
      </x:c>
      <x:c r="L100" s="35" t="n">
        <x:f>IF(J100="Concluída",1,0)</x:f>
        <x:v>1</x:v>
      </x:c>
      <x:c r="M100" s="35" t="n">
        <x:f>IF(AND(G100&lt;&gt;"",H100&lt;&gt;"",I100=TRUE),1,0)</x:f>
        <x:v>1</x:v>
      </x:c>
      <x:c r="N100" s="35" t="n">
        <x:v>0</x:v>
      </x:c>
      <x:c r="O100" s="39" t="str"/>
      <x:c r="P100" s="25" t="str">
        <x:v>TEC01</x:v>
      </x:c>
    </x:row>
    <x:row r="101">
      <x:c r="A101" s="25" t="str">
        <x:v>OS0100</x:v>
      </x:c>
      <x:c r="B101" s="25" t="str">
        <x:v>CL014</x:v>
      </x:c>
      <x:c r="C101" s="30" t="n">
        <x:v>46156.458333333336</x:v>
      </x:c>
      <x:c r="D101" s="30" t="n">
        <x:v>46158.458333333336</x:v>
      </x:c>
      <x:c r="E101" s="25" t="str">
        <x:v>Centro</x:v>
      </x:c>
      <x:c r="F101" s="25" t="str">
        <x:v>Hidráulica leve</x:v>
      </x:c>
      <x:c r="G101" s="25" t="str">
        <x:v>EQ026</x:v>
      </x:c>
      <x:c r="H101" s="25" t="str">
        <x:v>Falha intermitente</x:v>
      </x:c>
      <x:c r="I101" s="34" t="b">
        <x:v>1</x:v>
      </x:c>
      <x:c r="J101" s="35" t="str">
        <x:v>Concluída</x:v>
      </x:c>
      <x:c r="K101" s="35" t="n">
        <x:v>1</x:v>
      </x:c>
      <x:c r="L101" s="35" t="n">
        <x:f>IF(J101="Concluída",1,0)</x:f>
        <x:v>1</x:v>
      </x:c>
      <x:c r="M101" s="35" t="n">
        <x:f>IF(AND(G101&lt;&gt;"",H101&lt;&gt;"",I101=TRUE),1,0)</x:f>
        <x:v>1</x:v>
      </x:c>
      <x:c r="N101" s="35" t="n">
        <x:v>0</x:v>
      </x:c>
      <x:c r="O101" s="39" t="str"/>
      <x:c r="P101" s="25" t="str">
        <x:v>TEC02</x:v>
      </x:c>
    </x:row>
    <x:row r="102">
      <x:c r="A102" s="25" t="str">
        <x:v>OS0101</x:v>
      </x:c>
      <x:c r="B102" s="25" t="str">
        <x:v>CL015</x:v>
      </x:c>
      <x:c r="C102" s="30" t="n">
        <x:v>46157.5</x:v>
      </x:c>
      <x:c r="D102" s="30" t="n">
        <x:v>46159.5</x:v>
      </x:c>
      <x:c r="E102" s="25" t="str">
        <x:v>Norte</x:v>
      </x:c>
      <x:c r="F102" s="25" t="str">
        <x:v>Elétrica leve</x:v>
      </x:c>
      <x:c r="G102" s="25" t="str">
        <x:v>EQ027</x:v>
      </x:c>
      <x:c r="H102" s="25" t="str">
        <x:v>Oscilação</x:v>
      </x:c>
      <x:c r="I102" s="34" t="b">
        <x:v>1</x:v>
      </x:c>
      <x:c r="J102" s="35" t="str">
        <x:v>Concluída</x:v>
      </x:c>
      <x:c r="K102" s="35" t="n">
        <x:v>1</x:v>
      </x:c>
      <x:c r="L102" s="35" t="n">
        <x:f>IF(J102="Concluída",1,0)</x:f>
        <x:v>1</x:v>
      </x:c>
      <x:c r="M102" s="35" t="n">
        <x:f>IF(AND(G102&lt;&gt;"",H102&lt;&gt;"",I102=TRUE),1,0)</x:f>
        <x:v>1</x:v>
      </x:c>
      <x:c r="N102" s="35" t="n">
        <x:v>0</x:v>
      </x:c>
      <x:c r="O102" s="39" t="str"/>
      <x:c r="P102" s="25" t="str">
        <x:v>TEC03</x:v>
      </x:c>
    </x:row>
    <x:row r="103">
      <x:c r="A103" s="25" t="str">
        <x:v>OS0102</x:v>
      </x:c>
      <x:c r="B103" s="25" t="str">
        <x:v>CL016</x:v>
      </x:c>
      <x:c r="C103" s="30" t="n">
        <x:v>46158.541666666664</x:v>
      </x:c>
      <x:c r="D103" s="30" t="n">
        <x:v>46160.541666666664</x:v>
      </x:c>
      <x:c r="E103" s="25" t="str">
        <x:v>Sul</x:v>
      </x:c>
      <x:c r="F103" s="25" t="str">
        <x:v>Climatização</x:v>
      </x:c>
      <x:c r="G103" s="25" t="str">
        <x:v>EQ028</x:v>
      </x:c>
      <x:c r="H103" s="25" t="str">
        <x:v>Baixa eficiência</x:v>
      </x:c>
      <x:c r="I103" s="34" t="b">
        <x:v>1</x:v>
      </x:c>
      <x:c r="J103" s="35" t="str">
        <x:v>Concluída</x:v>
      </x:c>
      <x:c r="K103" s="35" t="n">
        <x:v>1</x:v>
      </x:c>
      <x:c r="L103" s="35" t="n">
        <x:f>IF(J103="Concluída",1,0)</x:f>
        <x:v>1</x:v>
      </x:c>
      <x:c r="M103" s="35" t="n">
        <x:f>IF(AND(G103&lt;&gt;"",H103&lt;&gt;"",I103=TRUE),1,0)</x:f>
        <x:v>1</x:v>
      </x:c>
      <x:c r="N103" s="35" t="n">
        <x:v>0</x:v>
      </x:c>
      <x:c r="O103" s="39" t="str"/>
      <x:c r="P103" s="25" t="str">
        <x:v>TEC04</x:v>
      </x:c>
    </x:row>
    <x:row r="104">
      <x:c r="A104" s="25" t="str">
        <x:v>OS0103</x:v>
      </x:c>
      <x:c r="B104" s="25" t="str">
        <x:v>CL017</x:v>
      </x:c>
      <x:c r="C104" s="30" t="n">
        <x:v>46159.583333333336</x:v>
      </x:c>
      <x:c r="D104" s="30" t="n">
        <x:v>46161.583333333336</x:v>
      </x:c>
      <x:c r="E104" s="25" t="str">
        <x:v>Leste</x:v>
      </x:c>
      <x:c r="F104" s="25" t="str">
        <x:v>Refrigeração</x:v>
      </x:c>
      <x:c r="G104" s="25" t="str">
        <x:v>EQ029</x:v>
      </x:c>
      <x:c r="H104" s="25" t="str">
        <x:v>Vazamento</x:v>
      </x:c>
      <x:c r="I104" s="34" t="b">
        <x:v>1</x:v>
      </x:c>
      <x:c r="J104" s="35" t="str">
        <x:v>Concluída</x:v>
      </x:c>
      <x:c r="K104" s="35" t="n">
        <x:v>1</x:v>
      </x:c>
      <x:c r="L104" s="35" t="n">
        <x:f>IF(J104="Concluída",1,0)</x:f>
        <x:v>1</x:v>
      </x:c>
      <x:c r="M104" s="35" t="n">
        <x:f>IF(AND(G104&lt;&gt;"",H104&lt;&gt;"",I104=TRUE),1,0)</x:f>
        <x:v>1</x:v>
      </x:c>
      <x:c r="N104" s="35" t="n">
        <x:v>0</x:v>
      </x:c>
      <x:c r="O104" s="39" t="str"/>
      <x:c r="P104" s="25" t="str">
        <x:v>TEC05</x:v>
      </x:c>
    </x:row>
    <x:row r="105">
      <x:c r="A105" s="25" t="str">
        <x:v>OS0104</x:v>
      </x:c>
      <x:c r="B105" s="25" t="str">
        <x:v>CL018</x:v>
      </x:c>
      <x:c r="C105" s="30" t="n">
        <x:v>46160.625</x:v>
      </x:c>
      <x:c r="D105" s="30" t="n">
        <x:v>46162.625</x:v>
      </x:c>
      <x:c r="E105" s="25" t="str">
        <x:v>Oeste</x:v>
      </x:c>
      <x:c r="F105" s="25" t="str">
        <x:v>Hidráulica leve</x:v>
      </x:c>
      <x:c r="G105" s="25" t="str">
        <x:v>EQ030</x:v>
      </x:c>
      <x:c r="H105" s="25" t="str">
        <x:v>Falha intermitente</x:v>
      </x:c>
      <x:c r="I105" s="34" t="b">
        <x:v>1</x:v>
      </x:c>
      <x:c r="J105" s="35" t="str">
        <x:v>Concluída</x:v>
      </x:c>
      <x:c r="K105" s="35" t="n">
        <x:v>1</x:v>
      </x:c>
      <x:c r="L105" s="35" t="n">
        <x:f>IF(J105="Concluída",1,0)</x:f>
        <x:v>1</x:v>
      </x:c>
      <x:c r="M105" s="35" t="n">
        <x:f>IF(AND(G105&lt;&gt;"",H105&lt;&gt;"",I105=TRUE),1,0)</x:f>
        <x:v>1</x:v>
      </x:c>
      <x:c r="N105" s="35" t="n">
        <x:v>0</x:v>
      </x:c>
      <x:c r="O105" s="39" t="str"/>
      <x:c r="P105" s="25" t="str">
        <x:v>TEC06</x:v>
      </x:c>
    </x:row>
    <x:row r="106">
      <x:c r="A106" s="25" t="str">
        <x:v>OS0105</x:v>
      </x:c>
      <x:c r="B106" s="25" t="str">
        <x:v>CL019</x:v>
      </x:c>
      <x:c r="C106" s="30" t="n">
        <x:v>46161.333333333336</x:v>
      </x:c>
      <x:c r="D106" s="30" t="n">
        <x:v>46163.333333333336</x:v>
      </x:c>
      <x:c r="E106" s="25" t="str">
        <x:v>Centro</x:v>
      </x:c>
      <x:c r="F106" s="25" t="str">
        <x:v>Elétrica leve</x:v>
      </x:c>
      <x:c r="G106" s="25" t="str">
        <x:v>EQ031</x:v>
      </x:c>
      <x:c r="H106" s="25" t="str">
        <x:v>Oscilação</x:v>
      </x:c>
      <x:c r="I106" s="34" t="b">
        <x:v>1</x:v>
      </x:c>
      <x:c r="J106" s="35" t="str">
        <x:v>Concluída</x:v>
      </x:c>
      <x:c r="K106" s="35" t="n">
        <x:v>1</x:v>
      </x:c>
      <x:c r="L106" s="35" t="n">
        <x:f>IF(J106="Concluída",1,0)</x:f>
        <x:v>1</x:v>
      </x:c>
      <x:c r="M106" s="35" t="n">
        <x:f>IF(AND(G106&lt;&gt;"",H106&lt;&gt;"",I106=TRUE),1,0)</x:f>
        <x:v>1</x:v>
      </x:c>
      <x:c r="N106" s="35" t="n">
        <x:v>0</x:v>
      </x:c>
      <x:c r="O106" s="39" t="str"/>
      <x:c r="P106" s="25" t="str">
        <x:v>TEC07</x:v>
      </x:c>
    </x:row>
    <x:row r="107">
      <x:c r="A107" s="25" t="str">
        <x:v>OS0106</x:v>
      </x:c>
      <x:c r="B107" s="25" t="str">
        <x:v>CL020</x:v>
      </x:c>
      <x:c r="C107" s="30" t="n">
        <x:v>46162.375</x:v>
      </x:c>
      <x:c r="D107" s="30" t="n">
        <x:v>46164.375</x:v>
      </x:c>
      <x:c r="E107" s="25" t="str">
        <x:v>Norte</x:v>
      </x:c>
      <x:c r="F107" s="25" t="str">
        <x:v>Climatização</x:v>
      </x:c>
      <x:c r="G107" s="25" t="str">
        <x:v>EQ032</x:v>
      </x:c>
      <x:c r="H107" s="25" t="str">
        <x:v>Baixa eficiência</x:v>
      </x:c>
      <x:c r="I107" s="34" t="b">
        <x:v>1</x:v>
      </x:c>
      <x:c r="J107" s="35" t="str">
        <x:v>Concluída</x:v>
      </x:c>
      <x:c r="K107" s="35" t="n">
        <x:v>1</x:v>
      </x:c>
      <x:c r="L107" s="35" t="n">
        <x:f>IF(J107="Concluída",1,0)</x:f>
        <x:v>1</x:v>
      </x:c>
      <x:c r="M107" s="35" t="n">
        <x:f>IF(AND(G107&lt;&gt;"",H107&lt;&gt;"",I107=TRUE),1,0)</x:f>
        <x:v>1</x:v>
      </x:c>
      <x:c r="N107" s="35" t="n">
        <x:v>0</x:v>
      </x:c>
      <x:c r="O107" s="39" t="str"/>
      <x:c r="P107" s="25" t="str">
        <x:v>TEC01</x:v>
      </x:c>
    </x:row>
    <x:row r="108">
      <x:c r="A108" s="25" t="str">
        <x:v>OS0107</x:v>
      </x:c>
      <x:c r="B108" s="25" t="str">
        <x:v>CL021</x:v>
      </x:c>
      <x:c r="C108" s="30" t="n">
        <x:v>46163.416666666664</x:v>
      </x:c>
      <x:c r="D108" s="30" t="n">
        <x:v>46165.416666666664</x:v>
      </x:c>
      <x:c r="E108" s="25" t="str">
        <x:v>Sul</x:v>
      </x:c>
      <x:c r="F108" s="25" t="str">
        <x:v>Refrigeração</x:v>
      </x:c>
      <x:c r="G108" s="25" t="str">
        <x:v>EQ033</x:v>
      </x:c>
      <x:c r="H108" s="25" t="str">
        <x:v>Vazamento</x:v>
      </x:c>
      <x:c r="I108" s="34" t="b">
        <x:v>1</x:v>
      </x:c>
      <x:c r="J108" s="35" t="str">
        <x:v>Concluída</x:v>
      </x:c>
      <x:c r="K108" s="35" t="n">
        <x:v>1</x:v>
      </x:c>
      <x:c r="L108" s="35" t="n">
        <x:f>IF(J108="Concluída",1,0)</x:f>
        <x:v>1</x:v>
      </x:c>
      <x:c r="M108" s="35" t="n">
        <x:f>IF(AND(G108&lt;&gt;"",H108&lt;&gt;"",I108=TRUE),1,0)</x:f>
        <x:v>1</x:v>
      </x:c>
      <x:c r="N108" s="35" t="n">
        <x:v>0</x:v>
      </x:c>
      <x:c r="O108" s="39" t="str"/>
      <x:c r="P108" s="25" t="str">
        <x:v>TEC02</x:v>
      </x:c>
    </x:row>
    <x:row r="109">
      <x:c r="A109" s="25" t="str">
        <x:v>OS0108</x:v>
      </x:c>
      <x:c r="B109" s="25" t="str">
        <x:v>CL022</x:v>
      </x:c>
      <x:c r="C109" s="30" t="n">
        <x:v>46164.458333333336</x:v>
      </x:c>
      <x:c r="D109" s="30" t="n">
        <x:v>46166.458333333336</x:v>
      </x:c>
      <x:c r="E109" s="25" t="str">
        <x:v>Leste</x:v>
      </x:c>
      <x:c r="F109" s="25" t="str">
        <x:v>Hidráulica leve</x:v>
      </x:c>
      <x:c r="G109" s="25" t="str">
        <x:v>EQ034</x:v>
      </x:c>
      <x:c r="H109" s="25" t="str">
        <x:v>Falha intermitente</x:v>
      </x:c>
      <x:c r="I109" s="34" t="b">
        <x:v>1</x:v>
      </x:c>
      <x:c r="J109" s="35" t="str">
        <x:v>Concluída</x:v>
      </x:c>
      <x:c r="K109" s="35" t="n">
        <x:v>1</x:v>
      </x:c>
      <x:c r="L109" s="35" t="n">
        <x:f>IF(J109="Concluída",1,0)</x:f>
        <x:v>1</x:v>
      </x:c>
      <x:c r="M109" s="35" t="n">
        <x:f>IF(AND(G109&lt;&gt;"",H109&lt;&gt;"",I109=TRUE),1,0)</x:f>
        <x:v>1</x:v>
      </x:c>
      <x:c r="N109" s="35" t="n">
        <x:v>0</x:v>
      </x:c>
      <x:c r="O109" s="39" t="str"/>
      <x:c r="P109" s="25" t="str">
        <x:v>TEC03</x:v>
      </x:c>
    </x:row>
    <x:row r="110">
      <x:c r="A110" s="25" t="str">
        <x:v>OS0109</x:v>
      </x:c>
      <x:c r="B110" s="25" t="str">
        <x:v>CL023</x:v>
      </x:c>
      <x:c r="C110" s="30" t="n">
        <x:v>46165.5</x:v>
      </x:c>
      <x:c r="D110" s="30" t="n">
        <x:v>46167.5</x:v>
      </x:c>
      <x:c r="E110" s="25" t="str">
        <x:v>Oeste</x:v>
      </x:c>
      <x:c r="F110" s="25" t="str">
        <x:v>Elétrica leve</x:v>
      </x:c>
      <x:c r="G110" s="25" t="str">
        <x:v>EQ035</x:v>
      </x:c>
      <x:c r="H110" s="25" t="str">
        <x:v>Oscilação</x:v>
      </x:c>
      <x:c r="I110" s="34" t="b">
        <x:v>1</x:v>
      </x:c>
      <x:c r="J110" s="35" t="str">
        <x:v>Concluída</x:v>
      </x:c>
      <x:c r="K110" s="35" t="n">
        <x:v>1</x:v>
      </x:c>
      <x:c r="L110" s="35" t="n">
        <x:f>IF(J110="Concluída",1,0)</x:f>
        <x:v>1</x:v>
      </x:c>
      <x:c r="M110" s="35" t="n">
        <x:f>IF(AND(G110&lt;&gt;"",H110&lt;&gt;"",I110=TRUE),1,0)</x:f>
        <x:v>1</x:v>
      </x:c>
      <x:c r="N110" s="35" t="n">
        <x:v>0</x:v>
      </x:c>
      <x:c r="O110" s="39" t="str"/>
      <x:c r="P110" s="25" t="str">
        <x:v>TEC04</x:v>
      </x:c>
    </x:row>
    <x:row r="111">
      <x:c r="A111" s="25" t="str">
        <x:v>OS0110</x:v>
      </x:c>
      <x:c r="B111" s="25" t="str">
        <x:v>CL024</x:v>
      </x:c>
      <x:c r="C111" s="30" t="n">
        <x:v>46166.541666666664</x:v>
      </x:c>
      <x:c r="D111" s="30" t="n">
        <x:v>46168.541666666664</x:v>
      </x:c>
      <x:c r="E111" s="25" t="str">
        <x:v>Centro</x:v>
      </x:c>
      <x:c r="F111" s="25" t="str">
        <x:v>Climatização</x:v>
      </x:c>
      <x:c r="G111" s="25" t="str">
        <x:v>EQ036</x:v>
      </x:c>
      <x:c r="H111" s="25" t="str">
        <x:v>Baixa eficiência</x:v>
      </x:c>
      <x:c r="I111" s="34" t="b">
        <x:v>1</x:v>
      </x:c>
      <x:c r="J111" s="35" t="str">
        <x:v>Concluída</x:v>
      </x:c>
      <x:c r="K111" s="35" t="n">
        <x:v>1</x:v>
      </x:c>
      <x:c r="L111" s="35" t="n">
        <x:f>IF(J111="Concluída",1,0)</x:f>
        <x:v>1</x:v>
      </x:c>
      <x:c r="M111" s="35" t="n">
        <x:f>IF(AND(G111&lt;&gt;"",H111&lt;&gt;"",I111=TRUE),1,0)</x:f>
        <x:v>1</x:v>
      </x:c>
      <x:c r="N111" s="35" t="n">
        <x:v>0</x:v>
      </x:c>
      <x:c r="O111" s="39" t="str"/>
      <x:c r="P111" s="25" t="str">
        <x:v>TEC05</x:v>
      </x:c>
    </x:row>
    <x:row r="112">
      <x:c r="A112" s="25" t="str">
        <x:v>OS0111</x:v>
      </x:c>
      <x:c r="B112" s="25" t="str">
        <x:v>CL025</x:v>
      </x:c>
      <x:c r="C112" s="30" t="n">
        <x:v>46167.583333333336</x:v>
      </x:c>
      <x:c r="D112" s="30" t="n">
        <x:v>46169.583333333336</x:v>
      </x:c>
      <x:c r="E112" s="25" t="str">
        <x:v>Norte</x:v>
      </x:c>
      <x:c r="F112" s="25" t="str">
        <x:v>Refrigeração</x:v>
      </x:c>
      <x:c r="G112" s="25" t="str">
        <x:v>EQ037</x:v>
      </x:c>
      <x:c r="H112" s="25" t="str">
        <x:v>Vazamento</x:v>
      </x:c>
      <x:c r="I112" s="34" t="b">
        <x:v>1</x:v>
      </x:c>
      <x:c r="J112" s="35" t="str">
        <x:v>Concluída</x:v>
      </x:c>
      <x:c r="K112" s="35" t="n">
        <x:v>1</x:v>
      </x:c>
      <x:c r="L112" s="35" t="n">
        <x:f>IF(J112="Concluída",1,0)</x:f>
        <x:v>1</x:v>
      </x:c>
      <x:c r="M112" s="35" t="n">
        <x:f>IF(AND(G112&lt;&gt;"",H112&lt;&gt;"",I112=TRUE),1,0)</x:f>
        <x:v>1</x:v>
      </x:c>
      <x:c r="N112" s="35" t="n">
        <x:v>0</x:v>
      </x:c>
      <x:c r="O112" s="39" t="str"/>
      <x:c r="P112" s="25" t="str">
        <x:v>TEC06</x:v>
      </x:c>
    </x:row>
    <x:row r="113">
      <x:c r="A113" s="25" t="str">
        <x:v>OS0112</x:v>
      </x:c>
      <x:c r="B113" s="25" t="str">
        <x:v>CL026</x:v>
      </x:c>
      <x:c r="C113" s="30" t="n">
        <x:v>46168.625</x:v>
      </x:c>
      <x:c r="D113" s="30" t="n">
        <x:v>46170.625</x:v>
      </x:c>
      <x:c r="E113" s="25" t="str">
        <x:v>Sul</x:v>
      </x:c>
      <x:c r="F113" s="25" t="str">
        <x:v>Hidráulica leve</x:v>
      </x:c>
      <x:c r="G113" s="25" t="str">
        <x:v>EQ038</x:v>
      </x:c>
      <x:c r="H113" s="25" t="str">
        <x:v>Falha intermitente</x:v>
      </x:c>
      <x:c r="I113" s="34" t="b">
        <x:v>1</x:v>
      </x:c>
      <x:c r="J113" s="35" t="str">
        <x:v>Concluída</x:v>
      </x:c>
      <x:c r="K113" s="35" t="n">
        <x:v>1</x:v>
      </x:c>
      <x:c r="L113" s="35" t="n">
        <x:f>IF(J113="Concluída",1,0)</x:f>
        <x:v>1</x:v>
      </x:c>
      <x:c r="M113" s="35" t="n">
        <x:f>IF(AND(G113&lt;&gt;"",H113&lt;&gt;"",I113=TRUE),1,0)</x:f>
        <x:v>1</x:v>
      </x:c>
      <x:c r="N113" s="35" t="n">
        <x:v>0</x:v>
      </x:c>
      <x:c r="O113" s="39" t="str"/>
      <x:c r="P113" s="25" t="str">
        <x:v>TEC07</x:v>
      </x:c>
    </x:row>
    <x:row r="114">
      <x:c r="A114" s="25" t="str">
        <x:v>OS0113</x:v>
      </x:c>
      <x:c r="B114" s="25" t="str">
        <x:v>CL027</x:v>
      </x:c>
      <x:c r="C114" s="30" t="n">
        <x:v>46143.25</x:v>
      </x:c>
      <x:c r="D114" s="30" t="n">
        <x:v>46143.333333333336</x:v>
      </x:c>
      <x:c r="E114" s="25" t="str">
        <x:v>Leste</x:v>
      </x:c>
      <x:c r="F114" s="25" t="str">
        <x:v>Elétrica leve</x:v>
      </x:c>
      <x:c r="G114" s="25" t="str">
        <x:v>EQ039</x:v>
      </x:c>
      <x:c r="H114" s="25" t="str">
        <x:v>Oscilação</x:v>
      </x:c>
      <x:c r="I114" s="34" t="b">
        <x:v>1</x:v>
      </x:c>
      <x:c r="J114" s="35" t="str">
        <x:v>Concluída</x:v>
      </x:c>
      <x:c r="K114" s="35" t="n">
        <x:v>1</x:v>
      </x:c>
      <x:c r="L114" s="35" t="n">
        <x:f>IF(J114="Concluída",1,0)</x:f>
        <x:v>1</x:v>
      </x:c>
      <x:c r="M114" s="35" t="n">
        <x:f>IF(AND(G114&lt;&gt;"",H114&lt;&gt;"",I114=TRUE),1,0)</x:f>
        <x:v>1</x:v>
      </x:c>
      <x:c r="N114" s="35" t="n">
        <x:v>0</x:v>
      </x:c>
      <x:c r="O114" s="39" t="str"/>
      <x:c r="P114" s="25" t="str">
        <x:v>TEC01</x:v>
      </x:c>
    </x:row>
    <x:row r="115">
      <x:c r="A115" s="25" t="str">
        <x:v>OS0114</x:v>
      </x:c>
      <x:c r="B115" s="25" t="str">
        <x:v>CL028</x:v>
      </x:c>
      <x:c r="C115" s="30" t="n">
        <x:v>46143.25</x:v>
      </x:c>
      <x:c r="D115" s="30" t="n">
        <x:v>46144.375</x:v>
      </x:c>
      <x:c r="E115" s="25" t="str">
        <x:v>Oeste</x:v>
      </x:c>
      <x:c r="F115" s="25" t="str">
        <x:v>Climatização</x:v>
      </x:c>
      <x:c r="G115" s="25" t="str">
        <x:v>EQ040</x:v>
      </x:c>
      <x:c r="H115" s="25" t="str">
        <x:v>Baixa eficiência</x:v>
      </x:c>
      <x:c r="I115" s="34" t="b">
        <x:v>1</x:v>
      </x:c>
      <x:c r="J115" s="35" t="str">
        <x:v>Concluída</x:v>
      </x:c>
      <x:c r="K115" s="35" t="n">
        <x:v>1</x:v>
      </x:c>
      <x:c r="L115" s="35" t="n">
        <x:f>IF(J115="Concluída",1,0)</x:f>
        <x:v>1</x:v>
      </x:c>
      <x:c r="M115" s="35" t="n">
        <x:f>IF(AND(G115&lt;&gt;"",H115&lt;&gt;"",I115=TRUE),1,0)</x:f>
        <x:v>1</x:v>
      </x:c>
      <x:c r="N115" s="35" t="n">
        <x:v>0</x:v>
      </x:c>
      <x:c r="O115" s="39" t="str"/>
      <x:c r="P115" s="25" t="str">
        <x:v>TEC02</x:v>
      </x:c>
    </x:row>
    <x:row r="116">
      <x:c r="A116" s="25" t="str">
        <x:v>OS0115</x:v>
      </x:c>
      <x:c r="B116" s="25" t="str">
        <x:v>CL029</x:v>
      </x:c>
      <x:c r="C116" s="30" t="n">
        <x:v>46143.416666666664</x:v>
      </x:c>
      <x:c r="D116" s="30" t="n">
        <x:v>46145.416666666664</x:v>
      </x:c>
      <x:c r="E116" s="25" t="str">
        <x:v>Centro</x:v>
      </x:c>
      <x:c r="F116" s="25" t="str">
        <x:v>Refrigeração</x:v>
      </x:c>
      <x:c r="G116" s="25" t="str">
        <x:v>EQ041</x:v>
      </x:c>
      <x:c r="H116" s="25" t="str">
        <x:v>Vazamento</x:v>
      </x:c>
      <x:c r="I116" s="34" t="b">
        <x:v>1</x:v>
      </x:c>
      <x:c r="J116" s="35" t="str">
        <x:v>Concluída</x:v>
      </x:c>
      <x:c r="K116" s="35" t="n">
        <x:v>1</x:v>
      </x:c>
      <x:c r="L116" s="35" t="n">
        <x:f>IF(J116="Concluída",1,0)</x:f>
        <x:v>1</x:v>
      </x:c>
      <x:c r="M116" s="35" t="n">
        <x:f>IF(AND(G116&lt;&gt;"",H116&lt;&gt;"",I116=TRUE),1,0)</x:f>
        <x:v>1</x:v>
      </x:c>
      <x:c r="N116" s="35" t="n">
        <x:v>0</x:v>
      </x:c>
      <x:c r="O116" s="39" t="str"/>
      <x:c r="P116" s="25" t="str">
        <x:v>TEC03</x:v>
      </x:c>
    </x:row>
    <x:row r="117">
      <x:c r="A117" s="25" t="str">
        <x:v>OS0116</x:v>
      </x:c>
      <x:c r="B117" s="25" t="str">
        <x:v>CL030</x:v>
      </x:c>
      <x:c r="C117" s="30" t="n">
        <x:v>46144.458333333336</x:v>
      </x:c>
      <x:c r="D117" s="30" t="n">
        <x:v>46146.458333333336</x:v>
      </x:c>
      <x:c r="E117" s="25" t="str">
        <x:v>Norte</x:v>
      </x:c>
      <x:c r="F117" s="25" t="str">
        <x:v>Hidráulica leve</x:v>
      </x:c>
      <x:c r="G117" s="25" t="str">
        <x:v>EQ042</x:v>
      </x:c>
      <x:c r="H117" s="25" t="str">
        <x:v>Falha intermitente</x:v>
      </x:c>
      <x:c r="I117" s="34" t="b">
        <x:v>1</x:v>
      </x:c>
      <x:c r="J117" s="35" t="str">
        <x:v>Concluída</x:v>
      </x:c>
      <x:c r="K117" s="35" t="n">
        <x:v>1</x:v>
      </x:c>
      <x:c r="L117" s="35" t="n">
        <x:f>IF(J117="Concluída",1,0)</x:f>
        <x:v>1</x:v>
      </x:c>
      <x:c r="M117" s="35" t="n">
        <x:f>IF(AND(G117&lt;&gt;"",H117&lt;&gt;"",I117=TRUE),1,0)</x:f>
        <x:v>1</x:v>
      </x:c>
      <x:c r="N117" s="35" t="n">
        <x:v>0</x:v>
      </x:c>
      <x:c r="O117" s="39" t="str"/>
      <x:c r="P117" s="25" t="str">
        <x:v>TEC04</x:v>
      </x:c>
    </x:row>
    <x:row r="118">
      <x:c r="A118" s="25" t="str">
        <x:v>OS0117</x:v>
      </x:c>
      <x:c r="B118" s="25" t="str">
        <x:v>CL031</x:v>
      </x:c>
      <x:c r="C118" s="30" t="n">
        <x:v>46145.5</x:v>
      </x:c>
      <x:c r="D118" s="30" t="n">
        <x:v>46147.5</x:v>
      </x:c>
      <x:c r="E118" s="25" t="str">
        <x:v>Sul</x:v>
      </x:c>
      <x:c r="F118" s="25" t="str">
        <x:v>Elétrica leve</x:v>
      </x:c>
      <x:c r="G118" s="25" t="str">
        <x:v>EQ043</x:v>
      </x:c>
      <x:c r="H118" s="25" t="str">
        <x:v>Oscilação</x:v>
      </x:c>
      <x:c r="I118" s="34" t="b">
        <x:v>1</x:v>
      </x:c>
      <x:c r="J118" s="35" t="str">
        <x:v>Concluída</x:v>
      </x:c>
      <x:c r="K118" s="35" t="n">
        <x:v>1</x:v>
      </x:c>
      <x:c r="L118" s="35" t="n">
        <x:f>IF(J118="Concluída",1,0)</x:f>
        <x:v>1</x:v>
      </x:c>
      <x:c r="M118" s="35" t="n">
        <x:f>IF(AND(G118&lt;&gt;"",H118&lt;&gt;"",I118=TRUE),1,0)</x:f>
        <x:v>1</x:v>
      </x:c>
      <x:c r="N118" s="35" t="n">
        <x:v>0</x:v>
      </x:c>
      <x:c r="O118" s="39" t="str"/>
      <x:c r="P118" s="25" t="str">
        <x:v>TEC05</x:v>
      </x:c>
    </x:row>
    <x:row r="119">
      <x:c r="A119" s="25" t="str">
        <x:v>OS0118</x:v>
      </x:c>
      <x:c r="B119" s="25" t="str">
        <x:v>CL032</x:v>
      </x:c>
      <x:c r="C119" s="30" t="n">
        <x:v>46146.541666666664</x:v>
      </x:c>
      <x:c r="D119" s="30" t="n">
        <x:v>46148.541666666664</x:v>
      </x:c>
      <x:c r="E119" s="25" t="str">
        <x:v>Leste</x:v>
      </x:c>
      <x:c r="F119" s="25" t="str">
        <x:v>Climatização</x:v>
      </x:c>
      <x:c r="G119" s="25" t="str">
        <x:v>EQ044</x:v>
      </x:c>
      <x:c r="H119" s="25" t="str">
        <x:v>Baixa eficiência</x:v>
      </x:c>
      <x:c r="I119" s="34" t="b">
        <x:v>1</x:v>
      </x:c>
      <x:c r="J119" s="35" t="str">
        <x:v>Concluída</x:v>
      </x:c>
      <x:c r="K119" s="35" t="n">
        <x:v>1</x:v>
      </x:c>
      <x:c r="L119" s="35" t="n">
        <x:f>IF(J119="Concluída",1,0)</x:f>
        <x:v>1</x:v>
      </x:c>
      <x:c r="M119" s="35" t="n">
        <x:f>IF(AND(G119&lt;&gt;"",H119&lt;&gt;"",I119=TRUE),1,0)</x:f>
        <x:v>1</x:v>
      </x:c>
      <x:c r="N119" s="35" t="n">
        <x:v>0</x:v>
      </x:c>
      <x:c r="O119" s="39" t="str"/>
      <x:c r="P119" s="25" t="str">
        <x:v>TEC06</x:v>
      </x:c>
    </x:row>
    <x:row r="120">
      <x:c r="A120" s="25" t="str">
        <x:v>OS0119</x:v>
      </x:c>
      <x:c r="B120" s="25" t="str">
        <x:v>CL033</x:v>
      </x:c>
      <x:c r="C120" s="30" t="n">
        <x:v>46147.583333333336</x:v>
      </x:c>
      <x:c r="D120" s="30" t="n">
        <x:v>46149.583333333336</x:v>
      </x:c>
      <x:c r="E120" s="25" t="str">
        <x:v>Oeste</x:v>
      </x:c>
      <x:c r="F120" s="25" t="str">
        <x:v>Refrigeração</x:v>
      </x:c>
      <x:c r="G120" s="25" t="str">
        <x:v>EQ045</x:v>
      </x:c>
      <x:c r="H120" s="25" t="str">
        <x:v>Vazamento</x:v>
      </x:c>
      <x:c r="I120" s="34" t="b">
        <x:v>1</x:v>
      </x:c>
      <x:c r="J120" s="35" t="str">
        <x:v>Concluída</x:v>
      </x:c>
      <x:c r="K120" s="35" t="n">
        <x:v>1</x:v>
      </x:c>
      <x:c r="L120" s="35" t="n">
        <x:f>IF(J120="Concluída",1,0)</x:f>
        <x:v>1</x:v>
      </x:c>
      <x:c r="M120" s="35" t="n">
        <x:f>IF(AND(G120&lt;&gt;"",H120&lt;&gt;"",I120=TRUE),1,0)</x:f>
        <x:v>1</x:v>
      </x:c>
      <x:c r="N120" s="35" t="n">
        <x:v>0</x:v>
      </x:c>
      <x:c r="O120" s="39" t="str"/>
      <x:c r="P120" s="25" t="str">
        <x:v>TEC07</x:v>
      </x:c>
    </x:row>
    <x:row r="121">
      <x:c r="A121" s="25" t="str">
        <x:v>OS0120</x:v>
      </x:c>
      <x:c r="B121" s="25" t="str">
        <x:v>CL034</x:v>
      </x:c>
      <x:c r="C121" s="30" t="n">
        <x:v>46148.625</x:v>
      </x:c>
      <x:c r="D121" s="30" t="n">
        <x:v>46150.625</x:v>
      </x:c>
      <x:c r="E121" s="25" t="str">
        <x:v>Centro</x:v>
      </x:c>
      <x:c r="F121" s="25" t="str">
        <x:v>Hidráulica leve</x:v>
      </x:c>
      <x:c r="G121" s="25" t="str">
        <x:v>EQ046</x:v>
      </x:c>
      <x:c r="H121" s="25" t="str">
        <x:v>Falha intermitente</x:v>
      </x:c>
      <x:c r="I121" s="34" t="b">
        <x:v>1</x:v>
      </x:c>
      <x:c r="J121" s="35" t="str">
        <x:v>Concluída</x:v>
      </x:c>
      <x:c r="K121" s="35" t="n">
        <x:v>1</x:v>
      </x:c>
      <x:c r="L121" s="35" t="n">
        <x:f>IF(J121="Concluída",1,0)</x:f>
        <x:v>1</x:v>
      </x:c>
      <x:c r="M121" s="35" t="n">
        <x:f>IF(AND(G121&lt;&gt;"",H121&lt;&gt;"",I121=TRUE),1,0)</x:f>
        <x:v>1</x:v>
      </x:c>
      <x:c r="N121" s="35" t="n">
        <x:v>0</x:v>
      </x:c>
      <x:c r="O121" s="39" t="str"/>
      <x:c r="P121" s="25" t="str">
        <x:v>TEC01</x:v>
      </x:c>
    </x:row>
    <x:row r="122">
      <x:c r="A122" s="25" t="str">
        <x:v>OS0121</x:v>
      </x:c>
      <x:c r="B122" s="25" t="str">
        <x:v>CL035</x:v>
      </x:c>
      <x:c r="C122" s="30" t="n">
        <x:v>46149.333333333336</x:v>
      </x:c>
      <x:c r="D122" s="30" t="n">
        <x:v>46151.333333333336</x:v>
      </x:c>
      <x:c r="E122" s="25" t="str">
        <x:v>Norte</x:v>
      </x:c>
      <x:c r="F122" s="25" t="str">
        <x:v>Elétrica leve</x:v>
      </x:c>
      <x:c r="G122" s="25" t="str">
        <x:v>EQ047</x:v>
      </x:c>
      <x:c r="H122" s="25" t="str">
        <x:v>Oscilação</x:v>
      </x:c>
      <x:c r="I122" s="34" t="b">
        <x:v>1</x:v>
      </x:c>
      <x:c r="J122" s="35" t="str">
        <x:v>Concluída</x:v>
      </x:c>
      <x:c r="K122" s="35" t="n">
        <x:v>1</x:v>
      </x:c>
      <x:c r="L122" s="35" t="n">
        <x:f>IF(J122="Concluída",1,0)</x:f>
        <x:v>1</x:v>
      </x:c>
      <x:c r="M122" s="35" t="n">
        <x:f>IF(AND(G122&lt;&gt;"",H122&lt;&gt;"",I122=TRUE),1,0)</x:f>
        <x:v>1</x:v>
      </x:c>
      <x:c r="N122" s="35" t="n">
        <x:v>0</x:v>
      </x:c>
      <x:c r="O122" s="39" t="str"/>
      <x:c r="P122" s="25" t="str">
        <x:v>TEC02</x:v>
      </x:c>
    </x:row>
    <x:row r="123">
      <x:c r="A123" s="25" t="str">
        <x:v>OS0122</x:v>
      </x:c>
      <x:c r="B123" s="25" t="str">
        <x:v>CL036</x:v>
      </x:c>
      <x:c r="C123" s="30" t="n">
        <x:v>46150.375</x:v>
      </x:c>
      <x:c r="D123" s="30" t="n">
        <x:v>46152.375</x:v>
      </x:c>
      <x:c r="E123" s="25" t="str">
        <x:v>Sul</x:v>
      </x:c>
      <x:c r="F123" s="25" t="str">
        <x:v>Climatização</x:v>
      </x:c>
      <x:c r="G123" s="25" t="str">
        <x:v>EQ048</x:v>
      </x:c>
      <x:c r="H123" s="25" t="str"/>
      <x:c r="I123" s="34" t="b">
        <x:v>1</x:v>
      </x:c>
      <x:c r="J123" s="35" t="str">
        <x:v>Aguardando peça</x:v>
      </x:c>
      <x:c r="K123" s="35" t="n">
        <x:v>1</x:v>
      </x:c>
      <x:c r="L123" s="35" t="n">
        <x:f>IF(J123="Concluída",1,0)</x:f>
        <x:v>0</x:v>
      </x:c>
      <x:c r="M123" s="35" t="n">
        <x:f>IF(AND(G123&lt;&gt;"",H123&lt;&gt;"",I123=TRUE),1,0)</x:f>
        <x:v>0</x:v>
      </x:c>
      <x:c r="N123" s="35" t="n">
        <x:v>0</x:v>
      </x:c>
      <x:c r="O123" s="39" t="str"/>
      <x:c r="P123" s="25" t="str">
        <x:v>TEC03</x:v>
      </x:c>
    </x:row>
    <x:row r="124">
      <x:c r="A124" s="25" t="str">
        <x:v>OS0123</x:v>
      </x:c>
      <x:c r="B124" s="25" t="str">
        <x:v>CL037</x:v>
      </x:c>
      <x:c r="C124" s="30" t="n">
        <x:v>46151.416666666664</x:v>
      </x:c>
      <x:c r="D124" s="30" t="n">
        <x:v>46153.416666666664</x:v>
      </x:c>
      <x:c r="E124" s="25" t="str">
        <x:v>Leste</x:v>
      </x:c>
      <x:c r="F124" s="25" t="str">
        <x:v>Refrigeração</x:v>
      </x:c>
      <x:c r="G124" s="25" t="str">
        <x:v>EQ049</x:v>
      </x:c>
      <x:c r="H124" s="25" t="str">
        <x:v>Vazamento</x:v>
      </x:c>
      <x:c r="I124" s="34" t="b">
        <x:v>0</x:v>
      </x:c>
      <x:c r="J124" s="35" t="str">
        <x:v>Aguardando peça</x:v>
      </x:c>
      <x:c r="K124" s="35" t="n">
        <x:v>1</x:v>
      </x:c>
      <x:c r="L124" s="35" t="n">
        <x:f>IF(J124="Concluída",1,0)</x:f>
        <x:v>0</x:v>
      </x:c>
      <x:c r="M124" s="35" t="n">
        <x:f>IF(AND(G124&lt;&gt;"",H124&lt;&gt;"",I124=TRUE),1,0)</x:f>
        <x:v>0</x:v>
      </x:c>
      <x:c r="N124" s="35" t="n">
        <x:v>0</x:v>
      </x:c>
      <x:c r="O124" s="39" t="str"/>
      <x:c r="P124" s="25" t="str">
        <x:v>TEC04</x:v>
      </x:c>
    </x:row>
    <x:row r="125">
      <x:c r="A125" s="25" t="str">
        <x:v>OS0124</x:v>
      </x:c>
      <x:c r="B125" s="25" t="str">
        <x:v>CL038</x:v>
      </x:c>
      <x:c r="C125" s="30" t="n">
        <x:v>46152.458333333336</x:v>
      </x:c>
      <x:c r="D125" s="30" t="n">
        <x:v>46154.458333333336</x:v>
      </x:c>
      <x:c r="E125" s="25" t="str">
        <x:v>Oeste</x:v>
      </x:c>
      <x:c r="F125" s="25" t="str">
        <x:v>Hidráulica leve</x:v>
      </x:c>
      <x:c r="G125" s="25" t="str"/>
      <x:c r="H125" s="25" t="str">
        <x:v>Falha intermitente</x:v>
      </x:c>
      <x:c r="I125" s="34" t="b">
        <x:v>1</x:v>
      </x:c>
      <x:c r="J125" s="35" t="str">
        <x:v>Aguardando peça</x:v>
      </x:c>
      <x:c r="K125" s="35" t="n">
        <x:v>1</x:v>
      </x:c>
      <x:c r="L125" s="35" t="n">
        <x:f>IF(J125="Concluída",1,0)</x:f>
        <x:v>0</x:v>
      </x:c>
      <x:c r="M125" s="35" t="n">
        <x:f>IF(AND(G125&lt;&gt;"",H125&lt;&gt;"",I125=TRUE),1,0)</x:f>
        <x:v>0</x:v>
      </x:c>
      <x:c r="N125" s="35" t="n">
        <x:v>0</x:v>
      </x:c>
      <x:c r="O125" s="39" t="str"/>
      <x:c r="P125" s="25" t="str">
        <x:v>TEC05</x:v>
      </x:c>
    </x:row>
    <x:row r="126">
      <x:c r="A126" s="25" t="str">
        <x:v>OS0125</x:v>
      </x:c>
      <x:c r="B126" s="25" t="str">
        <x:v>CL039</x:v>
      </x:c>
      <x:c r="C126" s="30" t="n">
        <x:v>46153.5</x:v>
      </x:c>
      <x:c r="D126" s="30" t="n">
        <x:v>46155.5</x:v>
      </x:c>
      <x:c r="E126" s="25" t="str">
        <x:v>Centro</x:v>
      </x:c>
      <x:c r="F126" s="25" t="str">
        <x:v>Elétrica leve</x:v>
      </x:c>
      <x:c r="G126" s="25" t="str">
        <x:v>EQ051</x:v>
      </x:c>
      <x:c r="H126" s="25" t="str"/>
      <x:c r="I126" s="34" t="b">
        <x:v>1</x:v>
      </x:c>
      <x:c r="J126" s="35" t="str">
        <x:v>Aguardando peça</x:v>
      </x:c>
      <x:c r="K126" s="35" t="n">
        <x:v>1</x:v>
      </x:c>
      <x:c r="L126" s="35" t="n">
        <x:f>IF(J126="Concluída",1,0)</x:f>
        <x:v>0</x:v>
      </x:c>
      <x:c r="M126" s="35" t="n">
        <x:f>IF(AND(G126&lt;&gt;"",H126&lt;&gt;"",I126=TRUE),1,0)</x:f>
        <x:v>0</x:v>
      </x:c>
      <x:c r="N126" s="35" t="n">
        <x:v>0</x:v>
      </x:c>
      <x:c r="O126" s="39" t="str"/>
      <x:c r="P126" s="25" t="str">
        <x:v>TEC06</x:v>
      </x:c>
    </x:row>
    <x:row r="127">
      <x:c r="A127" s="25" t="str">
        <x:v>OS0126</x:v>
      </x:c>
      <x:c r="B127" s="25" t="str">
        <x:v>CL040</x:v>
      </x:c>
      <x:c r="C127" s="30" t="n">
        <x:v>46154.541666666664</x:v>
      </x:c>
      <x:c r="D127" s="30" t="n">
        <x:v>46156.541666666664</x:v>
      </x:c>
      <x:c r="E127" s="25" t="str">
        <x:v>Norte</x:v>
      </x:c>
      <x:c r="F127" s="25" t="str">
        <x:v>Climatização</x:v>
      </x:c>
      <x:c r="G127" s="25" t="str">
        <x:v>EQ052</x:v>
      </x:c>
      <x:c r="H127" s="25" t="str">
        <x:v>Baixa eficiência</x:v>
      </x:c>
      <x:c r="I127" s="34" t="b">
        <x:v>0</x:v>
      </x:c>
      <x:c r="J127" s="35" t="str">
        <x:v>Aguardando peça</x:v>
      </x:c>
      <x:c r="K127" s="35" t="n">
        <x:v>1</x:v>
      </x:c>
      <x:c r="L127" s="35" t="n">
        <x:f>IF(J127="Concluída",1,0)</x:f>
        <x:v>0</x:v>
      </x:c>
      <x:c r="M127" s="35" t="n">
        <x:f>IF(AND(G127&lt;&gt;"",H127&lt;&gt;"",I127=TRUE),1,0)</x:f>
        <x:v>0</x:v>
      </x:c>
      <x:c r="N127" s="35" t="n">
        <x:v>0</x:v>
      </x:c>
      <x:c r="O127" s="39" t="str"/>
      <x:c r="P127" s="25" t="str">
        <x:v>TEC07</x:v>
      </x:c>
    </x:row>
    <x:row r="128">
      <x:c r="A128" s="25" t="str">
        <x:v>OS0127</x:v>
      </x:c>
      <x:c r="B128" s="25" t="str">
        <x:v>CL041</x:v>
      </x:c>
      <x:c r="C128" s="30" t="n">
        <x:v>46155.583333333336</x:v>
      </x:c>
      <x:c r="D128" s="30" t="n">
        <x:v>46157.583333333336</x:v>
      </x:c>
      <x:c r="E128" s="25" t="str">
        <x:v>Sul</x:v>
      </x:c>
      <x:c r="F128" s="25" t="str">
        <x:v>Refrigeração</x:v>
      </x:c>
      <x:c r="G128" s="25" t="str">
        <x:v>EQ053</x:v>
      </x:c>
      <x:c r="H128" s="25" t="str">
        <x:v>Vazamento</x:v>
      </x:c>
      <x:c r="I128" s="34" t="b">
        <x:v>1</x:v>
      </x:c>
      <x:c r="J128" s="35" t="str">
        <x:v>Aguardando peça</x:v>
      </x:c>
      <x:c r="K128" s="35" t="n">
        <x:v>1</x:v>
      </x:c>
      <x:c r="L128" s="35" t="n">
        <x:f>IF(J128="Concluída",1,0)</x:f>
        <x:v>0</x:v>
      </x:c>
      <x:c r="M128" s="35" t="n">
        <x:f>IF(AND(G128&lt;&gt;"",H128&lt;&gt;"",I128=TRUE),1,0)</x:f>
        <x:v>1</x:v>
      </x:c>
      <x:c r="N128" s="35" t="n">
        <x:v>0</x:v>
      </x:c>
      <x:c r="O128" s="39" t="str"/>
      <x:c r="P128" s="25" t="str">
        <x:v>TEC01</x:v>
      </x:c>
    </x:row>
    <x:row r="129">
      <x:c r="A129" s="25" t="str">
        <x:v>OS0128</x:v>
      </x:c>
      <x:c r="B129" s="25" t="str">
        <x:v>CL042</x:v>
      </x:c>
      <x:c r="C129" s="30" t="n">
        <x:v>46156.625</x:v>
      </x:c>
      <x:c r="D129" s="30" t="n">
        <x:v>46158.625</x:v>
      </x:c>
      <x:c r="E129" s="25" t="str">
        <x:v>Leste</x:v>
      </x:c>
      <x:c r="F129" s="25" t="str">
        <x:v>Hidráulica leve</x:v>
      </x:c>
      <x:c r="G129" s="25" t="str">
        <x:v>EQ054</x:v>
      </x:c>
      <x:c r="H129" s="25" t="str">
        <x:v>Falha intermitente</x:v>
      </x:c>
      <x:c r="I129" s="34" t="b">
        <x:v>1</x:v>
      </x:c>
      <x:c r="J129" s="35" t="str">
        <x:v>Aguardando peça</x:v>
      </x:c>
      <x:c r="K129" s="35" t="n">
        <x:v>1</x:v>
      </x:c>
      <x:c r="L129" s="35" t="n">
        <x:f>IF(J129="Concluída",1,0)</x:f>
        <x:v>0</x:v>
      </x:c>
      <x:c r="M129" s="35" t="n">
        <x:f>IF(AND(G129&lt;&gt;"",H129&lt;&gt;"",I129=TRUE),1,0)</x:f>
        <x:v>1</x:v>
      </x:c>
      <x:c r="N129" s="35" t="n">
        <x:v>0</x:v>
      </x:c>
      <x:c r="O129" s="39" t="str"/>
      <x:c r="P129" s="25" t="str">
        <x:v>TEC02</x:v>
      </x:c>
    </x:row>
    <x:row r="130">
      <x:c r="A130" s="25" t="str">
        <x:v>OS0129</x:v>
      </x:c>
      <x:c r="B130" s="25" t="str">
        <x:v>CL043</x:v>
      </x:c>
      <x:c r="C130" s="30" t="n">
        <x:v>46157.333333333336</x:v>
      </x:c>
      <x:c r="D130" s="30" t="n">
        <x:v>46159.333333333336</x:v>
      </x:c>
      <x:c r="E130" s="25" t="str">
        <x:v>Oeste</x:v>
      </x:c>
      <x:c r="F130" s="25" t="str">
        <x:v>Elétrica leve</x:v>
      </x:c>
      <x:c r="G130" s="25" t="str">
        <x:v>EQ055</x:v>
      </x:c>
      <x:c r="H130" s="25" t="str">
        <x:v>Oscilação</x:v>
      </x:c>
      <x:c r="I130" s="34" t="b">
        <x:v>1</x:v>
      </x:c>
      <x:c r="J130" s="35" t="str">
        <x:v>Aguardando peça</x:v>
      </x:c>
      <x:c r="K130" s="35" t="n">
        <x:v>1</x:v>
      </x:c>
      <x:c r="L130" s="35" t="n">
        <x:f>IF(J130="Concluída",1,0)</x:f>
        <x:v>0</x:v>
      </x:c>
      <x:c r="M130" s="35" t="n">
        <x:f>IF(AND(G130&lt;&gt;"",H130&lt;&gt;"",I130=TRUE),1,0)</x:f>
        <x:v>1</x:v>
      </x:c>
      <x:c r="N130" s="35" t="n">
        <x:v>0</x:v>
      </x:c>
      <x:c r="O130" s="39" t="str"/>
      <x:c r="P130" s="25" t="str">
        <x:v>TEC03</x:v>
      </x:c>
    </x:row>
    <x:row r="131">
      <x:c r="A131" s="25" t="str">
        <x:v>OS0130</x:v>
      </x:c>
      <x:c r="B131" s="25" t="str">
        <x:v>CL044</x:v>
      </x:c>
      <x:c r="C131" s="30" t="n">
        <x:v>46158.375</x:v>
      </x:c>
      <x:c r="D131" s="30" t="n">
        <x:v>46160.375</x:v>
      </x:c>
      <x:c r="E131" s="25" t="str">
        <x:v>Centro</x:v>
      </x:c>
      <x:c r="F131" s="25" t="str">
        <x:v>Climatização</x:v>
      </x:c>
      <x:c r="G131" s="25" t="str">
        <x:v>EQ056</x:v>
      </x:c>
      <x:c r="H131" s="25" t="str">
        <x:v>Baixa eficiência</x:v>
      </x:c>
      <x:c r="I131" s="34" t="b">
        <x:v>1</x:v>
      </x:c>
      <x:c r="J131" s="35" t="str">
        <x:v>Aguardando peça</x:v>
      </x:c>
      <x:c r="K131" s="35" t="n">
        <x:v>1</x:v>
      </x:c>
      <x:c r="L131" s="35" t="n">
        <x:f>IF(J131="Concluída",1,0)</x:f>
        <x:v>0</x:v>
      </x:c>
      <x:c r="M131" s="35" t="n">
        <x:f>IF(AND(G131&lt;&gt;"",H131&lt;&gt;"",I131=TRUE),1,0)</x:f>
        <x:v>1</x:v>
      </x:c>
      <x:c r="N131" s="35" t="n">
        <x:v>0</x:v>
      </x:c>
      <x:c r="O131" s="39" t="str"/>
      <x:c r="P131" s="25" t="str">
        <x:v>TEC04</x:v>
      </x:c>
    </x:row>
    <x:row r="132">
      <x:c r="A132" s="25" t="str">
        <x:v>OS0131</x:v>
      </x:c>
      <x:c r="B132" s="25" t="str">
        <x:v>CL045</x:v>
      </x:c>
      <x:c r="C132" s="30" t="n">
        <x:v>46159.416666666664</x:v>
      </x:c>
      <x:c r="D132" s="30" t="n">
        <x:v>46161.416666666664</x:v>
      </x:c>
      <x:c r="E132" s="25" t="str">
        <x:v>Norte</x:v>
      </x:c>
      <x:c r="F132" s="25" t="str">
        <x:v>Refrigeração</x:v>
      </x:c>
      <x:c r="G132" s="25" t="str">
        <x:v>EQ057</x:v>
      </x:c>
      <x:c r="H132" s="25" t="str">
        <x:v>Vazamento</x:v>
      </x:c>
      <x:c r="I132" s="34" t="b">
        <x:v>1</x:v>
      </x:c>
      <x:c r="J132" s="35" t="str">
        <x:v>Em acompanhamento</x:v>
      </x:c>
      <x:c r="K132" s="35" t="n">
        <x:v>1</x:v>
      </x:c>
      <x:c r="L132" s="35" t="n">
        <x:f>IF(J132="Concluída",1,0)</x:f>
        <x:v>0</x:v>
      </x:c>
      <x:c r="M132" s="35" t="n">
        <x:f>IF(AND(G132&lt;&gt;"",H132&lt;&gt;"",I132=TRUE),1,0)</x:f>
        <x:v>1</x:v>
      </x:c>
      <x:c r="N132" s="35" t="n">
        <x:v>0</x:v>
      </x:c>
      <x:c r="O132" s="39" t="str"/>
      <x:c r="P132" s="25" t="str">
        <x:v>TEC05</x:v>
      </x:c>
    </x:row>
    <x:row r="133">
      <x:c r="A133" s="25" t="str">
        <x:v>OS0132</x:v>
      </x:c>
      <x:c r="B133" s="25" t="str">
        <x:v>CL046</x:v>
      </x:c>
      <x:c r="C133" s="30" t="n">
        <x:v>46160.458333333336</x:v>
      </x:c>
      <x:c r="D133" s="30" t="n">
        <x:v>46162.458333333336</x:v>
      </x:c>
      <x:c r="E133" s="25" t="str">
        <x:v>Sul</x:v>
      </x:c>
      <x:c r="F133" s="25" t="str">
        <x:v>Hidráulica leve</x:v>
      </x:c>
      <x:c r="G133" s="25" t="str">
        <x:v>EQ058</x:v>
      </x:c>
      <x:c r="H133" s="25" t="str">
        <x:v>Falha intermitente</x:v>
      </x:c>
      <x:c r="I133" s="34" t="b">
        <x:v>1</x:v>
      </x:c>
      <x:c r="J133" s="35" t="str">
        <x:v>Em acompanhamento</x:v>
      </x:c>
      <x:c r="K133" s="35" t="n">
        <x:v>1</x:v>
      </x:c>
      <x:c r="L133" s="35" t="n">
        <x:f>IF(J133="Concluída",1,0)</x:f>
        <x:v>0</x:v>
      </x:c>
      <x:c r="M133" s="35" t="n">
        <x:f>IF(AND(G133&lt;&gt;"",H133&lt;&gt;"",I133=TRUE),1,0)</x:f>
        <x:v>1</x:v>
      </x:c>
      <x:c r="N133" s="35" t="n">
        <x:v>0</x:v>
      </x:c>
      <x:c r="O133" s="39" t="str"/>
      <x:c r="P133" s="25" t="str">
        <x:v>TEC06</x:v>
      </x:c>
    </x:row>
    <x:row r="134">
      <x:c r="A134" s="25" t="str">
        <x:v>OS0133</x:v>
      </x:c>
      <x:c r="B134" s="25" t="str">
        <x:v>CL047</x:v>
      </x:c>
      <x:c r="C134" s="30" t="n">
        <x:v>46161.5</x:v>
      </x:c>
      <x:c r="D134" s="30" t="n">
        <x:v>46163.5</x:v>
      </x:c>
      <x:c r="E134" s="25" t="str">
        <x:v>Leste</x:v>
      </x:c>
      <x:c r="F134" s="25" t="str">
        <x:v>Elétrica leve</x:v>
      </x:c>
      <x:c r="G134" s="25" t="str">
        <x:v>EQ059</x:v>
      </x:c>
      <x:c r="H134" s="25" t="str">
        <x:v>Oscilação</x:v>
      </x:c>
      <x:c r="I134" s="34" t="b">
        <x:v>1</x:v>
      </x:c>
      <x:c r="J134" s="35" t="str">
        <x:v>Em acompanhamento</x:v>
      </x:c>
      <x:c r="K134" s="35" t="n">
        <x:v>1</x:v>
      </x:c>
      <x:c r="L134" s="35" t="n">
        <x:f>IF(J134="Concluída",1,0)</x:f>
        <x:v>0</x:v>
      </x:c>
      <x:c r="M134" s="35" t="n">
        <x:f>IF(AND(G134&lt;&gt;"",H134&lt;&gt;"",I134=TRUE),1,0)</x:f>
        <x:v>1</x:v>
      </x:c>
      <x:c r="N134" s="35" t="n">
        <x:v>0</x:v>
      </x:c>
      <x:c r="O134" s="39" t="str"/>
      <x:c r="P134" s="25" t="str">
        <x:v>TEC07</x:v>
      </x:c>
    </x:row>
    <x:row r="135">
      <x:c r="A135" s="25" t="str">
        <x:v>OS0134</x:v>
      </x:c>
      <x:c r="B135" s="25" t="str">
        <x:v>CL048</x:v>
      </x:c>
      <x:c r="C135" s="30" t="n">
        <x:v>46162.541666666664</x:v>
      </x:c>
      <x:c r="D135" s="30" t="n">
        <x:v>46164.541666666664</x:v>
      </x:c>
      <x:c r="E135" s="25" t="str">
        <x:v>Oeste</x:v>
      </x:c>
      <x:c r="F135" s="25" t="str">
        <x:v>Climatização</x:v>
      </x:c>
      <x:c r="G135" s="25" t="str">
        <x:v>EQ060</x:v>
      </x:c>
      <x:c r="H135" s="25" t="str">
        <x:v>Baixa eficiência</x:v>
      </x:c>
      <x:c r="I135" s="34" t="b">
        <x:v>1</x:v>
      </x:c>
      <x:c r="J135" s="35" t="str">
        <x:v>Em acompanhamento</x:v>
      </x:c>
      <x:c r="K135" s="35" t="n">
        <x:v>1</x:v>
      </x:c>
      <x:c r="L135" s="35" t="n">
        <x:f>IF(J135="Concluída",1,0)</x:f>
        <x:v>0</x:v>
      </x:c>
      <x:c r="M135" s="35" t="n">
        <x:f>IF(AND(G135&lt;&gt;"",H135&lt;&gt;"",I135=TRUE),1,0)</x:f>
        <x:v>1</x:v>
      </x:c>
      <x:c r="N135" s="35" t="n">
        <x:v>0</x:v>
      </x:c>
      <x:c r="O135" s="39" t="str"/>
      <x:c r="P135" s="25" t="str">
        <x:v>TEC01</x:v>
      </x:c>
    </x:row>
    <x:row r="136">
      <x:c r="A136" s="25" t="str">
        <x:v>OS0135</x:v>
      </x:c>
      <x:c r="B136" s="25" t="str">
        <x:v>CL049</x:v>
      </x:c>
      <x:c r="C136" s="30" t="n">
        <x:v>46163.583333333336</x:v>
      </x:c>
      <x:c r="D136" s="30" t="n">
        <x:v>46165.583333333336</x:v>
      </x:c>
      <x:c r="E136" s="25" t="str">
        <x:v>Centro</x:v>
      </x:c>
      <x:c r="F136" s="25" t="str">
        <x:v>Refrigeração</x:v>
      </x:c>
      <x:c r="G136" s="25" t="str">
        <x:v>EQ061</x:v>
      </x:c>
      <x:c r="H136" s="25" t="str">
        <x:v>Vazamento</x:v>
      </x:c>
      <x:c r="I136" s="34" t="b">
        <x:v>1</x:v>
      </x:c>
      <x:c r="J136" s="35" t="str">
        <x:v>Em acompanhamento</x:v>
      </x:c>
      <x:c r="K136" s="35" t="n">
        <x:v>1</x:v>
      </x:c>
      <x:c r="L136" s="35" t="n">
        <x:f>IF(J136="Concluída",1,0)</x:f>
        <x:v>0</x:v>
      </x:c>
      <x:c r="M136" s="35" t="n">
        <x:f>IF(AND(G136&lt;&gt;"",H136&lt;&gt;"",I136=TRUE),1,0)</x:f>
        <x:v>1</x:v>
      </x:c>
      <x:c r="N136" s="35" t="n">
        <x:v>0</x:v>
      </x:c>
      <x:c r="O136" s="39" t="str"/>
      <x:c r="P136" s="25" t="str">
        <x:v>TEC02</x:v>
      </x:c>
    </x:row>
    <x:row r="137">
      <x:c r="A137" s="25" t="str">
        <x:v>OS0136</x:v>
      </x:c>
      <x:c r="B137" s="25" t="str">
        <x:v>CL050</x:v>
      </x:c>
      <x:c r="C137" s="30" t="n">
        <x:v>46164.625</x:v>
      </x:c>
      <x:c r="D137" s="30" t="n">
        <x:v>46166.625</x:v>
      </x:c>
      <x:c r="E137" s="25" t="str">
        <x:v>Norte</x:v>
      </x:c>
      <x:c r="F137" s="25" t="str">
        <x:v>Hidráulica leve</x:v>
      </x:c>
      <x:c r="G137" s="25" t="str">
        <x:v>EQ062</x:v>
      </x:c>
      <x:c r="H137" s="25" t="str">
        <x:v>Falha intermitente</x:v>
      </x:c>
      <x:c r="I137" s="34" t="b">
        <x:v>1</x:v>
      </x:c>
      <x:c r="J137" s="35" t="str">
        <x:v>Em acompanhamento</x:v>
      </x:c>
      <x:c r="K137" s="35" t="n">
        <x:v>1</x:v>
      </x:c>
      <x:c r="L137" s="35" t="n">
        <x:f>IF(J137="Concluída",1,0)</x:f>
        <x:v>0</x:v>
      </x:c>
      <x:c r="M137" s="35" t="n">
        <x:f>IF(AND(G137&lt;&gt;"",H137&lt;&gt;"",I137=TRUE),1,0)</x:f>
        <x:v>1</x:v>
      </x:c>
      <x:c r="N137" s="35" t="n">
        <x:v>0</x:v>
      </x:c>
      <x:c r="O137" s="39" t="str"/>
      <x:c r="P137" s="25" t="str">
        <x:v>TEC03</x:v>
      </x:c>
    </x:row>
    <x:row r="138">
      <x:c r="A138" s="25" t="str">
        <x:v>OS0137</x:v>
      </x:c>
      <x:c r="B138" s="25" t="str">
        <x:v>CL051</x:v>
      </x:c>
      <x:c r="C138" s="30" t="n">
        <x:v>46165.333333333336</x:v>
      </x:c>
      <x:c r="D138" s="30" t="n">
        <x:v>46167.333333333336</x:v>
      </x:c>
      <x:c r="E138" s="25" t="str">
        <x:v>Sul</x:v>
      </x:c>
      <x:c r="F138" s="25" t="str">
        <x:v>Elétrica leve</x:v>
      </x:c>
      <x:c r="G138" s="25" t="str">
        <x:v>EQ063</x:v>
      </x:c>
      <x:c r="H138" s="25" t="str">
        <x:v>Oscilação</x:v>
      </x:c>
      <x:c r="I138" s="34" t="b">
        <x:v>1</x:v>
      </x:c>
      <x:c r="J138" s="35" t="str">
        <x:v>Em acompanhamento</x:v>
      </x:c>
      <x:c r="K138" s="35" t="n">
        <x:v>1</x:v>
      </x:c>
      <x:c r="L138" s="35" t="n">
        <x:f>IF(J138="Concluída",1,0)</x:f>
        <x:v>0</x:v>
      </x:c>
      <x:c r="M138" s="35" t="n">
        <x:f>IF(AND(G138&lt;&gt;"",H138&lt;&gt;"",I138=TRUE),1,0)</x:f>
        <x:v>1</x:v>
      </x:c>
      <x:c r="N138" s="35" t="n">
        <x:v>0</x:v>
      </x:c>
      <x:c r="O138" s="39" t="str"/>
      <x:c r="P138" s="25" t="str">
        <x:v>TEC04</x:v>
      </x:c>
    </x:row>
    <x:row r="139">
      <x:c r="A139" s="27" t="str">
        <x:v>OS0138</x:v>
      </x:c>
      <x:c r="B139" s="27" t="str">
        <x:v>CL052</x:v>
      </x:c>
      <x:c r="C139" s="31" t="n">
        <x:v>46166.375</x:v>
      </x:c>
      <x:c r="D139" s="31" t="n">
        <x:v>46168.375</x:v>
      </x:c>
      <x:c r="E139" s="27" t="str">
        <x:v>Leste</x:v>
      </x:c>
      <x:c r="F139" s="27" t="str">
        <x:v>Climatização</x:v>
      </x:c>
      <x:c r="G139" s="27" t="str">
        <x:v>EQ064</x:v>
      </x:c>
      <x:c r="H139" s="27" t="str">
        <x:v>Baixa eficiência</x:v>
      </x:c>
      <x:c r="I139" s="36" t="b">
        <x:v>1</x:v>
      </x:c>
      <x:c r="J139" s="37" t="str">
        <x:v>Em acompanhamento</x:v>
      </x:c>
      <x:c r="K139" s="37" t="n">
        <x:v>1</x:v>
      </x:c>
      <x:c r="L139" s="37" t="n">
        <x:f>IF(J139="Concluída",1,0)</x:f>
        <x:v>0</x:v>
      </x:c>
      <x:c r="M139" s="37" t="n">
        <x:f>IF(AND(G139&lt;&gt;"",H139&lt;&gt;"",I139=TRUE),1,0)</x:f>
        <x:v>1</x:v>
      </x:c>
      <x:c r="N139" s="37" t="n">
        <x:v>0</x:v>
      </x:c>
      <x:c r="O139" s="40" t="str"/>
      <x:c r="P139" s="27" t="str">
        <x:v>TEC05</x:v>
      </x:c>
    </x:row>
  </x:sheetData>
  <x:pageMargins left="0.7" right="0.7" top="0.75" bottom="0.75" header="0.3" footer="0.3"/>
  <x:tableParts count="1">
    <x:tablePart xmlns:r="http://schemas.openxmlformats.org/officeDocument/2006/relationships" r:id="R2613d91676e043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13" hidden="0" customWidth="1"/>
    <x:col min="5" max="5" width="19" hidden="0" customWidth="1"/>
    <x:col min="6" max="6" width="31" hidden="0" customWidth="1"/>
    <x:col min="7" max="7" width="20" hidden="0" customWidth="1"/>
    <x:col min="8" max="8" width="23" hidden="0" customWidth="1"/>
  </x:cols>
  <x:sheetData>
    <x:row r="1" ht="34" customHeight="1">
      <x:c r="A1" s="10" t="str">
        <x:v>ordem_id</x:v>
      </x:c>
      <x:c r="B1" s="11" t="str">
        <x:v>data_original</x:v>
      </x:c>
      <x:c r="C1" s="11" t="str">
        <x:v>data_final</x:v>
      </x:c>
      <x:c r="D1" s="11" t="str">
        <x:v>regiao</x:v>
      </x:c>
      <x:c r="E1" s="11" t="str">
        <x:v>houve_mudanca</x:v>
      </x:c>
      <x:c r="F1" s="11" t="str">
        <x:v>motivo_mudanca</x:v>
      </x:c>
      <x:c r="G1" s="11" t="str">
        <x:v>tempo_ajuste_min</x:v>
      </x:c>
      <x:c r="H1" s="12" t="str">
        <x:v>aprovado_por_humano</x:v>
      </x:c>
    </x:row>
    <x:row r="2">
      <x:c r="A2" s="23" t="str">
        <x:v>OS0001</x:v>
      </x:c>
      <x:c r="B2" s="29" t="n">
        <x:v>46143.333333333336</x:v>
      </x:c>
      <x:c r="C2" s="29" t="n">
        <x:v>46144.333333333336</x:v>
      </x:c>
      <x:c r="D2" s="23" t="str">
        <x:v>Norte</x:v>
      </x:c>
      <x:c r="E2" s="33" t="n">
        <x:v>1</x:v>
      </x:c>
      <x:c r="F2" s="33" t="str">
        <x:v>Acesso ao local</x:v>
      </x:c>
      <x:c r="G2" s="33" t="n">
        <x:v>20</x:v>
      </x:c>
      <x:c r="H2" s="32" t="b">
        <x:v>1</x:v>
      </x:c>
    </x:row>
    <x:row r="3">
      <x:c r="A3" s="25" t="str">
        <x:v>OS0002</x:v>
      </x:c>
      <x:c r="B3" s="30" t="n">
        <x:v>46144.375</x:v>
      </x:c>
      <x:c r="C3" s="30" t="n">
        <x:v>46145.375</x:v>
      </x:c>
      <x:c r="D3" s="25" t="str">
        <x:v>Sul</x:v>
      </x:c>
      <x:c r="E3" s="35" t="n">
        <x:v>1</x:v>
      </x:c>
      <x:c r="F3" s="35" t="str">
        <x:v>Disponibilidade confirmada</x:v>
      </x:c>
      <x:c r="G3" s="35" t="n">
        <x:v>25</x:v>
      </x:c>
      <x:c r="H3" s="34" t="b">
        <x:v>1</x:v>
      </x:c>
    </x:row>
    <x:row r="4">
      <x:c r="A4" s="25" t="str">
        <x:v>OS0003</x:v>
      </x:c>
      <x:c r="B4" s="30" t="n">
        <x:v>46145.416666666664</x:v>
      </x:c>
      <x:c r="C4" s="30" t="n">
        <x:v>46146.416666666664</x:v>
      </x:c>
      <x:c r="D4" s="25" t="str">
        <x:v>Leste</x:v>
      </x:c>
      <x:c r="E4" s="35" t="n">
        <x:v>1</x:v>
      </x:c>
      <x:c r="F4" s="35" t="str">
        <x:v>Conflito operacional</x:v>
      </x:c>
      <x:c r="G4" s="35" t="n">
        <x:v>30</x:v>
      </x:c>
      <x:c r="H4" s="34" t="b">
        <x:v>1</x:v>
      </x:c>
    </x:row>
    <x:row r="5">
      <x:c r="A5" s="25" t="str">
        <x:v>OS0004</x:v>
      </x:c>
      <x:c r="B5" s="30" t="n">
        <x:v>46146.458333333336</x:v>
      </x:c>
      <x:c r="C5" s="30" t="n">
        <x:v>46147.458333333336</x:v>
      </x:c>
      <x:c r="D5" s="25" t="str">
        <x:v>Oeste</x:v>
      </x:c>
      <x:c r="E5" s="35" t="n">
        <x:v>1</x:v>
      </x:c>
      <x:c r="F5" s="35" t="str">
        <x:v>Solicitação revisada</x:v>
      </x:c>
      <x:c r="G5" s="35" t="n">
        <x:v>35</x:v>
      </x:c>
      <x:c r="H5" s="34" t="b">
        <x:v>1</x:v>
      </x:c>
    </x:row>
    <x:row r="6">
      <x:c r="A6" s="25" t="str">
        <x:v>OS0005</x:v>
      </x:c>
      <x:c r="B6" s="30" t="n">
        <x:v>46147.5</x:v>
      </x:c>
      <x:c r="C6" s="30" t="n">
        <x:v>46148.5</x:v>
      </x:c>
      <x:c r="D6" s="25" t="str">
        <x:v>Centro</x:v>
      </x:c>
      <x:c r="E6" s="35" t="n">
        <x:v>1</x:v>
      </x:c>
      <x:c r="F6" s="35" t="str">
        <x:v>Acesso ao local</x:v>
      </x:c>
      <x:c r="G6" s="35" t="n">
        <x:v>40</x:v>
      </x:c>
      <x:c r="H6" s="34" t="b">
        <x:v>1</x:v>
      </x:c>
    </x:row>
    <x:row r="7">
      <x:c r="A7" s="25" t="str">
        <x:v>OS0006</x:v>
      </x:c>
      <x:c r="B7" s="30" t="n">
        <x:v>46148.541666666664</x:v>
      </x:c>
      <x:c r="C7" s="30" t="n">
        <x:v>46149.541666666664</x:v>
      </x:c>
      <x:c r="D7" s="25" t="str">
        <x:v>Norte</x:v>
      </x:c>
      <x:c r="E7" s="35" t="n">
        <x:v>1</x:v>
      </x:c>
      <x:c r="F7" s="35" t="str">
        <x:v>Disponibilidade confirmada</x:v>
      </x:c>
      <x:c r="G7" s="35" t="n">
        <x:v>40</x:v>
      </x:c>
      <x:c r="H7" s="34" t="b">
        <x:v>1</x:v>
      </x:c>
    </x:row>
    <x:row r="8">
      <x:c r="A8" s="25" t="str">
        <x:v>OS0007</x:v>
      </x:c>
      <x:c r="B8" s="30" t="n">
        <x:v>46149.583333333336</x:v>
      </x:c>
      <x:c r="C8" s="30" t="n">
        <x:v>46150.583333333336</x:v>
      </x:c>
      <x:c r="D8" s="25" t="str">
        <x:v>Sul</x:v>
      </x:c>
      <x:c r="E8" s="35" t="n">
        <x:v>1</x:v>
      </x:c>
      <x:c r="F8" s="35" t="str">
        <x:v>Conflito operacional</x:v>
      </x:c>
      <x:c r="G8" s="35" t="n">
        <x:v>45</x:v>
      </x:c>
      <x:c r="H8" s="34" t="b">
        <x:v>1</x:v>
      </x:c>
    </x:row>
    <x:row r="9">
      <x:c r="A9" s="25" t="str">
        <x:v>OS0008</x:v>
      </x:c>
      <x:c r="B9" s="30" t="n">
        <x:v>46150.625</x:v>
      </x:c>
      <x:c r="C9" s="30" t="n">
        <x:v>46151.625</x:v>
      </x:c>
      <x:c r="D9" s="25" t="str">
        <x:v>Leste</x:v>
      </x:c>
      <x:c r="E9" s="35" t="n">
        <x:v>1</x:v>
      </x:c>
      <x:c r="F9" s="35" t="str">
        <x:v>Solicitação revisada</x:v>
      </x:c>
      <x:c r="G9" s="35" t="n">
        <x:v>45</x:v>
      </x:c>
      <x:c r="H9" s="34" t="b">
        <x:v>1</x:v>
      </x:c>
    </x:row>
    <x:row r="10">
      <x:c r="A10" s="25" t="str">
        <x:v>OS0009</x:v>
      </x:c>
      <x:c r="B10" s="30" t="n">
        <x:v>46151.333333333336</x:v>
      </x:c>
      <x:c r="C10" s="30" t="n">
        <x:v>46152.333333333336</x:v>
      </x:c>
      <x:c r="D10" s="25" t="str">
        <x:v>Oeste</x:v>
      </x:c>
      <x:c r="E10" s="35" t="n">
        <x:v>1</x:v>
      </x:c>
      <x:c r="F10" s="35" t="str">
        <x:v>Acesso ao local</x:v>
      </x:c>
      <x:c r="G10" s="35" t="n">
        <x:v>45</x:v>
      </x:c>
      <x:c r="H10" s="34" t="b">
        <x:v>1</x:v>
      </x:c>
    </x:row>
    <x:row r="11">
      <x:c r="A11" s="25" t="str">
        <x:v>OS0010</x:v>
      </x:c>
      <x:c r="B11" s="30" t="n">
        <x:v>46152.375</x:v>
      </x:c>
      <x:c r="C11" s="30" t="n">
        <x:v>46153.375</x:v>
      </x:c>
      <x:c r="D11" s="25" t="str">
        <x:v>Centro</x:v>
      </x:c>
      <x:c r="E11" s="35" t="n">
        <x:v>1</x:v>
      </x:c>
      <x:c r="F11" s="35" t="str">
        <x:v>Disponibilidade confirmada</x:v>
      </x:c>
      <x:c r="G11" s="35" t="n">
        <x:v>50</x:v>
      </x:c>
      <x:c r="H11" s="34" t="b">
        <x:v>1</x:v>
      </x:c>
    </x:row>
    <x:row r="12">
      <x:c r="A12" s="25" t="str">
        <x:v>OS0011</x:v>
      </x:c>
      <x:c r="B12" s="30" t="n">
        <x:v>46153.416666666664</x:v>
      </x:c>
      <x:c r="C12" s="30" t="n">
        <x:v>46154.416666666664</x:v>
      </x:c>
      <x:c r="D12" s="25" t="str">
        <x:v>Norte</x:v>
      </x:c>
      <x:c r="E12" s="35" t="n">
        <x:v>1</x:v>
      </x:c>
      <x:c r="F12" s="35" t="str">
        <x:v>Conflito operacional</x:v>
      </x:c>
      <x:c r="G12" s="35" t="n">
        <x:v>50</x:v>
      </x:c>
      <x:c r="H12" s="34" t="b">
        <x:v>1</x:v>
      </x:c>
    </x:row>
    <x:row r="13">
      <x:c r="A13" s="25" t="str">
        <x:v>OS0012</x:v>
      </x:c>
      <x:c r="B13" s="30" t="n">
        <x:v>46154.458333333336</x:v>
      </x:c>
      <x:c r="C13" s="30" t="n">
        <x:v>46155.458333333336</x:v>
      </x:c>
      <x:c r="D13" s="25" t="str">
        <x:v>Sul</x:v>
      </x:c>
      <x:c r="E13" s="35" t="n">
        <x:v>1</x:v>
      </x:c>
      <x:c r="F13" s="35" t="str">
        <x:v>Solicitação revisada</x:v>
      </x:c>
      <x:c r="G13" s="35" t="n">
        <x:v>50</x:v>
      </x:c>
      <x:c r="H13" s="34" t="b">
        <x:v>1</x:v>
      </x:c>
    </x:row>
    <x:row r="14">
      <x:c r="A14" s="25" t="str">
        <x:v>OS0013</x:v>
      </x:c>
      <x:c r="B14" s="30" t="n">
        <x:v>46155.5</x:v>
      </x:c>
      <x:c r="C14" s="30" t="n">
        <x:v>46156.5</x:v>
      </x:c>
      <x:c r="D14" s="25" t="str">
        <x:v>Leste</x:v>
      </x:c>
      <x:c r="E14" s="35" t="n">
        <x:v>1</x:v>
      </x:c>
      <x:c r="F14" s="35" t="str">
        <x:v>Acesso ao local</x:v>
      </x:c>
      <x:c r="G14" s="35" t="n">
        <x:v>50</x:v>
      </x:c>
      <x:c r="H14" s="34" t="b">
        <x:v>1</x:v>
      </x:c>
    </x:row>
    <x:row r="15">
      <x:c r="A15" s="25" t="str">
        <x:v>OS0014</x:v>
      </x:c>
      <x:c r="B15" s="30" t="n">
        <x:v>46156.541666666664</x:v>
      </x:c>
      <x:c r="C15" s="30" t="n">
        <x:v>46157.541666666664</x:v>
      </x:c>
      <x:c r="D15" s="25" t="str">
        <x:v>Oeste</x:v>
      </x:c>
      <x:c r="E15" s="35" t="n">
        <x:v>1</x:v>
      </x:c>
      <x:c r="F15" s="35" t="str">
        <x:v>Disponibilidade confirmada</x:v>
      </x:c>
      <x:c r="G15" s="35" t="n">
        <x:v>50</x:v>
      </x:c>
      <x:c r="H15" s="34" t="b">
        <x:v>1</x:v>
      </x:c>
    </x:row>
    <x:row r="16">
      <x:c r="A16" s="25" t="str">
        <x:v>OS0015</x:v>
      </x:c>
      <x:c r="B16" s="30" t="n">
        <x:v>46157.583333333336</x:v>
      </x:c>
      <x:c r="C16" s="30" t="n">
        <x:v>46158.583333333336</x:v>
      </x:c>
      <x:c r="D16" s="25" t="str">
        <x:v>Centro</x:v>
      </x:c>
      <x:c r="E16" s="35" t="n">
        <x:v>1</x:v>
      </x:c>
      <x:c r="F16" s="35" t="str">
        <x:v>Conflito operacional</x:v>
      </x:c>
      <x:c r="G16" s="35" t="n">
        <x:v>50</x:v>
      </x:c>
      <x:c r="H16" s="34" t="b">
        <x:v>1</x:v>
      </x:c>
    </x:row>
    <x:row r="17">
      <x:c r="A17" s="25" t="str">
        <x:v>OS0016</x:v>
      </x:c>
      <x:c r="B17" s="30" t="n">
        <x:v>46158.625</x:v>
      </x:c>
      <x:c r="C17" s="30" t="n">
        <x:v>46159.625</x:v>
      </x:c>
      <x:c r="D17" s="25" t="str">
        <x:v>Norte</x:v>
      </x:c>
      <x:c r="E17" s="35" t="n">
        <x:v>1</x:v>
      </x:c>
      <x:c r="F17" s="35" t="str">
        <x:v>Solicitação revisada</x:v>
      </x:c>
      <x:c r="G17" s="35" t="n">
        <x:v>55</x:v>
      </x:c>
      <x:c r="H17" s="34" t="b">
        <x:v>1</x:v>
      </x:c>
    </x:row>
    <x:row r="18">
      <x:c r="A18" s="25" t="str">
        <x:v>OS0017</x:v>
      </x:c>
      <x:c r="B18" s="30" t="n">
        <x:v>46159.333333333336</x:v>
      </x:c>
      <x:c r="C18" s="30" t="n">
        <x:v>46160.333333333336</x:v>
      </x:c>
      <x:c r="D18" s="25" t="str">
        <x:v>Sul</x:v>
      </x:c>
      <x:c r="E18" s="35" t="n">
        <x:v>1</x:v>
      </x:c>
      <x:c r="F18" s="35" t="str">
        <x:v>Acesso ao local</x:v>
      </x:c>
      <x:c r="G18" s="35" t="n">
        <x:v>55</x:v>
      </x:c>
      <x:c r="H18" s="34" t="b">
        <x:v>1</x:v>
      </x:c>
    </x:row>
    <x:row r="19">
      <x:c r="A19" s="25" t="str">
        <x:v>OS0018</x:v>
      </x:c>
      <x:c r="B19" s="30" t="n">
        <x:v>46160.375</x:v>
      </x:c>
      <x:c r="C19" s="30" t="n">
        <x:v>46161.375</x:v>
      </x:c>
      <x:c r="D19" s="25" t="str">
        <x:v>Leste</x:v>
      </x:c>
      <x:c r="E19" s="35" t="n">
        <x:v>1</x:v>
      </x:c>
      <x:c r="F19" s="35" t="str">
        <x:v>Disponibilidade confirmada</x:v>
      </x:c>
      <x:c r="G19" s="35" t="n">
        <x:v>55</x:v>
      </x:c>
      <x:c r="H19" s="34" t="b">
        <x:v>1</x:v>
      </x:c>
    </x:row>
    <x:row r="20">
      <x:c r="A20" s="25" t="str">
        <x:v>OS0019</x:v>
      </x:c>
      <x:c r="B20" s="30" t="n">
        <x:v>46161.416666666664</x:v>
      </x:c>
      <x:c r="C20" s="30" t="n">
        <x:v>46162.416666666664</x:v>
      </x:c>
      <x:c r="D20" s="25" t="str">
        <x:v>Oeste</x:v>
      </x:c>
      <x:c r="E20" s="35" t="n">
        <x:v>1</x:v>
      </x:c>
      <x:c r="F20" s="35" t="str">
        <x:v>Conflito operacional</x:v>
      </x:c>
      <x:c r="G20" s="35" t="n">
        <x:v>60</x:v>
      </x:c>
      <x:c r="H20" s="34" t="b">
        <x:v>1</x:v>
      </x:c>
    </x:row>
    <x:row r="21">
      <x:c r="A21" s="25" t="str">
        <x:v>OS0020</x:v>
      </x:c>
      <x:c r="B21" s="30" t="n">
        <x:v>46162.458333333336</x:v>
      </x:c>
      <x:c r="C21" s="30" t="n">
        <x:v>46163.458333333336</x:v>
      </x:c>
      <x:c r="D21" s="25" t="str">
        <x:v>Centro</x:v>
      </x:c>
      <x:c r="E21" s="35" t="n">
        <x:v>1</x:v>
      </x:c>
      <x:c r="F21" s="35" t="str">
        <x:v>Solicitação revisada</x:v>
      </x:c>
      <x:c r="G21" s="35" t="n">
        <x:v>65</x:v>
      </x:c>
      <x:c r="H21" s="34" t="b">
        <x:v>1</x:v>
      </x:c>
    </x:row>
    <x:row r="22">
      <x:c r="A22" s="25" t="str">
        <x:v>OS0021</x:v>
      </x:c>
      <x:c r="B22" s="30" t="n">
        <x:v>46163.5</x:v>
      </x:c>
      <x:c r="C22" s="30" t="n">
        <x:v>46164.5</x:v>
      </x:c>
      <x:c r="D22" s="25" t="str">
        <x:v>Norte</x:v>
      </x:c>
      <x:c r="E22" s="35" t="n">
        <x:v>1</x:v>
      </x:c>
      <x:c r="F22" s="35" t="str">
        <x:v>Acesso ao local</x:v>
      </x:c>
      <x:c r="G22" s="35" t="n">
        <x:v>70</x:v>
      </x:c>
      <x:c r="H22" s="34" t="b">
        <x:v>1</x:v>
      </x:c>
    </x:row>
    <x:row r="23">
      <x:c r="A23" s="25" t="str">
        <x:v>OS0022</x:v>
      </x:c>
      <x:c r="B23" s="30" t="n">
        <x:v>46164.541666666664</x:v>
      </x:c>
      <x:c r="C23" s="30" t="n">
        <x:v>46165.541666666664</x:v>
      </x:c>
      <x:c r="D23" s="25" t="str">
        <x:v>Sul</x:v>
      </x:c>
      <x:c r="E23" s="35" t="n">
        <x:v>1</x:v>
      </x:c>
      <x:c r="F23" s="35" t="str">
        <x:v>Disponibilidade confirmada</x:v>
      </x:c>
      <x:c r="G23" s="35" t="n">
        <x:v>75</x:v>
      </x:c>
      <x:c r="H23" s="34" t="b">
        <x:v>1</x:v>
      </x:c>
    </x:row>
    <x:row r="24">
      <x:c r="A24" s="25" t="str">
        <x:v>OS0023</x:v>
      </x:c>
      <x:c r="B24" s="30" t="n">
        <x:v>46165.583333333336</x:v>
      </x:c>
      <x:c r="C24" s="30" t="n">
        <x:v>46166.583333333336</x:v>
      </x:c>
      <x:c r="D24" s="25" t="str">
        <x:v>Leste</x:v>
      </x:c>
      <x:c r="E24" s="35" t="n">
        <x:v>1</x:v>
      </x:c>
      <x:c r="F24" s="35" t="str">
        <x:v>Conflito operacional</x:v>
      </x:c>
      <x:c r="G24" s="35" t="n">
        <x:v>80</x:v>
      </x:c>
      <x:c r="H24" s="34" t="b">
        <x:v>1</x:v>
      </x:c>
    </x:row>
    <x:row r="25">
      <x:c r="A25" s="25" t="str">
        <x:v>OS0024</x:v>
      </x:c>
      <x:c r="B25" s="30" t="n">
        <x:v>46166.625</x:v>
      </x:c>
      <x:c r="C25" s="30" t="n">
        <x:v>46166.625</x:v>
      </x:c>
      <x:c r="D25" s="25" t="str">
        <x:v>Oeste</x:v>
      </x:c>
      <x:c r="E25" s="35" t="n">
        <x:v>0</x:v>
      </x:c>
      <x:c r="F25" s="35" t="str"/>
      <x:c r="G25" s="35" t="n">
        <x:v>0</x:v>
      </x:c>
      <x:c r="H25" s="34" t="b">
        <x:v>1</x:v>
      </x:c>
    </x:row>
    <x:row r="26">
      <x:c r="A26" s="25" t="str">
        <x:v>OS0025</x:v>
      </x:c>
      <x:c r="B26" s="30" t="n">
        <x:v>46167.333333333336</x:v>
      </x:c>
      <x:c r="C26" s="30" t="n">
        <x:v>46167.333333333336</x:v>
      </x:c>
      <x:c r="D26" s="25" t="str">
        <x:v>Centro</x:v>
      </x:c>
      <x:c r="E26" s="35" t="n">
        <x:v>0</x:v>
      </x:c>
      <x:c r="F26" s="35" t="str"/>
      <x:c r="G26" s="35" t="n">
        <x:v>0</x:v>
      </x:c>
      <x:c r="H26" s="34" t="b">
        <x:v>1</x:v>
      </x:c>
    </x:row>
    <x:row r="27">
      <x:c r="A27" s="25" t="str">
        <x:v>OS0026</x:v>
      </x:c>
      <x:c r="B27" s="30" t="n">
        <x:v>46168.375</x:v>
      </x:c>
      <x:c r="C27" s="30" t="n">
        <x:v>46168.375</x:v>
      </x:c>
      <x:c r="D27" s="25" t="str">
        <x:v>Norte</x:v>
      </x:c>
      <x:c r="E27" s="35" t="n">
        <x:v>0</x:v>
      </x:c>
      <x:c r="F27" s="35" t="str"/>
      <x:c r="G27" s="35" t="n">
        <x:v>0</x:v>
      </x:c>
      <x:c r="H27" s="34" t="b">
        <x:v>1</x:v>
      </x:c>
    </x:row>
    <x:row r="28">
      <x:c r="A28" s="25" t="str">
        <x:v>OS0027</x:v>
      </x:c>
      <x:c r="B28" s="30" t="n">
        <x:v>46169.416666666664</x:v>
      </x:c>
      <x:c r="C28" s="30" t="n">
        <x:v>46169.416666666664</x:v>
      </x:c>
      <x:c r="D28" s="25" t="str">
        <x:v>Sul</x:v>
      </x:c>
      <x:c r="E28" s="35" t="n">
        <x:v>0</x:v>
      </x:c>
      <x:c r="F28" s="35" t="str"/>
      <x:c r="G28" s="35" t="n">
        <x:v>0</x:v>
      </x:c>
      <x:c r="H28" s="34" t="b">
        <x:v>1</x:v>
      </x:c>
    </x:row>
    <x:row r="29">
      <x:c r="A29" s="25" t="str">
        <x:v>OS0028</x:v>
      </x:c>
      <x:c r="B29" s="30" t="n">
        <x:v>46170.458333333336</x:v>
      </x:c>
      <x:c r="C29" s="30" t="n">
        <x:v>46170.458333333336</x:v>
      </x:c>
      <x:c r="D29" s="25" t="str">
        <x:v>Leste</x:v>
      </x:c>
      <x:c r="E29" s="35" t="n">
        <x:v>0</x:v>
      </x:c>
      <x:c r="F29" s="35" t="str"/>
      <x:c r="G29" s="35" t="n">
        <x:v>0</x:v>
      </x:c>
      <x:c r="H29" s="34" t="b">
        <x:v>1</x:v>
      </x:c>
    </x:row>
    <x:row r="30">
      <x:c r="A30" s="25" t="str">
        <x:v>OS0029</x:v>
      </x:c>
      <x:c r="B30" s="30" t="n">
        <x:v>46143.5</x:v>
      </x:c>
      <x:c r="C30" s="30" t="n">
        <x:v>46143.5</x:v>
      </x:c>
      <x:c r="D30" s="25" t="str">
        <x:v>Oeste</x:v>
      </x:c>
      <x:c r="E30" s="35" t="n">
        <x:v>0</x:v>
      </x:c>
      <x:c r="F30" s="35" t="str"/>
      <x:c r="G30" s="35" t="n">
        <x:v>0</x:v>
      </x:c>
      <x:c r="H30" s="34" t="b">
        <x:v>1</x:v>
      </x:c>
    </x:row>
    <x:row r="31">
      <x:c r="A31" s="25" t="str">
        <x:v>OS0030</x:v>
      </x:c>
      <x:c r="B31" s="30" t="n">
        <x:v>46144.541666666664</x:v>
      </x:c>
      <x:c r="C31" s="30" t="n">
        <x:v>46144.541666666664</x:v>
      </x:c>
      <x:c r="D31" s="25" t="str">
        <x:v>Centro</x:v>
      </x:c>
      <x:c r="E31" s="35" t="n">
        <x:v>0</x:v>
      </x:c>
      <x:c r="F31" s="35" t="str"/>
      <x:c r="G31" s="35" t="n">
        <x:v>0</x:v>
      </x:c>
      <x:c r="H31" s="34" t="b">
        <x:v>1</x:v>
      </x:c>
    </x:row>
    <x:row r="32">
      <x:c r="A32" s="25" t="str">
        <x:v>OS0031</x:v>
      </x:c>
      <x:c r="B32" s="30" t="n">
        <x:v>46145.583333333336</x:v>
      </x:c>
      <x:c r="C32" s="30" t="n">
        <x:v>46145.583333333336</x:v>
      </x:c>
      <x:c r="D32" s="25" t="str">
        <x:v>Norte</x:v>
      </x:c>
      <x:c r="E32" s="35" t="n">
        <x:v>0</x:v>
      </x:c>
      <x:c r="F32" s="35" t="str"/>
      <x:c r="G32" s="35" t="n">
        <x:v>0</x:v>
      </x:c>
      <x:c r="H32" s="34" t="b">
        <x:v>1</x:v>
      </x:c>
    </x:row>
    <x:row r="33">
      <x:c r="A33" s="25" t="str">
        <x:v>OS0032</x:v>
      </x:c>
      <x:c r="B33" s="30" t="n">
        <x:v>46146.625</x:v>
      </x:c>
      <x:c r="C33" s="30" t="n">
        <x:v>46146.625</x:v>
      </x:c>
      <x:c r="D33" s="25" t="str">
        <x:v>Sul</x:v>
      </x:c>
      <x:c r="E33" s="35" t="n">
        <x:v>0</x:v>
      </x:c>
      <x:c r="F33" s="35" t="str"/>
      <x:c r="G33" s="35" t="n">
        <x:v>0</x:v>
      </x:c>
      <x:c r="H33" s="34" t="b">
        <x:v>1</x:v>
      </x:c>
    </x:row>
    <x:row r="34">
      <x:c r="A34" s="25" t="str">
        <x:v>OS0033</x:v>
      </x:c>
      <x:c r="B34" s="30" t="n">
        <x:v>46147.333333333336</x:v>
      </x:c>
      <x:c r="C34" s="30" t="n">
        <x:v>46147.333333333336</x:v>
      </x:c>
      <x:c r="D34" s="25" t="str">
        <x:v>Leste</x:v>
      </x:c>
      <x:c r="E34" s="35" t="n">
        <x:v>0</x:v>
      </x:c>
      <x:c r="F34" s="35" t="str"/>
      <x:c r="G34" s="35" t="n">
        <x:v>0</x:v>
      </x:c>
      <x:c r="H34" s="34" t="b">
        <x:v>1</x:v>
      </x:c>
    </x:row>
    <x:row r="35">
      <x:c r="A35" s="25" t="str">
        <x:v>OS0034</x:v>
      </x:c>
      <x:c r="B35" s="30" t="n">
        <x:v>46148.375</x:v>
      </x:c>
      <x:c r="C35" s="30" t="n">
        <x:v>46148.375</x:v>
      </x:c>
      <x:c r="D35" s="25" t="str">
        <x:v>Oeste</x:v>
      </x:c>
      <x:c r="E35" s="35" t="n">
        <x:v>0</x:v>
      </x:c>
      <x:c r="F35" s="35" t="str"/>
      <x:c r="G35" s="35" t="n">
        <x:v>0</x:v>
      </x:c>
      <x:c r="H35" s="34" t="b">
        <x:v>1</x:v>
      </x:c>
    </x:row>
    <x:row r="36">
      <x:c r="A36" s="25" t="str">
        <x:v>OS0035</x:v>
      </x:c>
      <x:c r="B36" s="30" t="n">
        <x:v>46149.416666666664</x:v>
      </x:c>
      <x:c r="C36" s="30" t="n">
        <x:v>46149.416666666664</x:v>
      </x:c>
      <x:c r="D36" s="25" t="str">
        <x:v>Centro</x:v>
      </x:c>
      <x:c r="E36" s="35" t="n">
        <x:v>0</x:v>
      </x:c>
      <x:c r="F36" s="35" t="str"/>
      <x:c r="G36" s="35" t="n">
        <x:v>0</x:v>
      </x:c>
      <x:c r="H36" s="34" t="b">
        <x:v>1</x:v>
      </x:c>
    </x:row>
    <x:row r="37">
      <x:c r="A37" s="25" t="str">
        <x:v>OS0036</x:v>
      </x:c>
      <x:c r="B37" s="30" t="n">
        <x:v>46150.458333333336</x:v>
      </x:c>
      <x:c r="C37" s="30" t="n">
        <x:v>46150.458333333336</x:v>
      </x:c>
      <x:c r="D37" s="25" t="str">
        <x:v>Norte</x:v>
      </x:c>
      <x:c r="E37" s="35" t="n">
        <x:v>0</x:v>
      </x:c>
      <x:c r="F37" s="35" t="str"/>
      <x:c r="G37" s="35" t="n">
        <x:v>0</x:v>
      </x:c>
      <x:c r="H37" s="34" t="b">
        <x:v>1</x:v>
      </x:c>
    </x:row>
    <x:row r="38">
      <x:c r="A38" s="25" t="str">
        <x:v>OS0037</x:v>
      </x:c>
      <x:c r="B38" s="30" t="n">
        <x:v>46151.5</x:v>
      </x:c>
      <x:c r="C38" s="30" t="n">
        <x:v>46151.5</x:v>
      </x:c>
      <x:c r="D38" s="25" t="str">
        <x:v>Sul</x:v>
      </x:c>
      <x:c r="E38" s="35" t="n">
        <x:v>0</x:v>
      </x:c>
      <x:c r="F38" s="35" t="str"/>
      <x:c r="G38" s="35" t="n">
        <x:v>0</x:v>
      </x:c>
      <x:c r="H38" s="34" t="b">
        <x:v>1</x:v>
      </x:c>
    </x:row>
    <x:row r="39">
      <x:c r="A39" s="25" t="str">
        <x:v>OS0038</x:v>
      </x:c>
      <x:c r="B39" s="30" t="n">
        <x:v>46152.541666666664</x:v>
      </x:c>
      <x:c r="C39" s="30" t="n">
        <x:v>46152.541666666664</x:v>
      </x:c>
      <x:c r="D39" s="25" t="str">
        <x:v>Leste</x:v>
      </x:c>
      <x:c r="E39" s="35" t="n">
        <x:v>0</x:v>
      </x:c>
      <x:c r="F39" s="35" t="str"/>
      <x:c r="G39" s="35" t="n">
        <x:v>0</x:v>
      </x:c>
      <x:c r="H39" s="34" t="b">
        <x:v>1</x:v>
      </x:c>
    </x:row>
    <x:row r="40">
      <x:c r="A40" s="25" t="str">
        <x:v>OS0039</x:v>
      </x:c>
      <x:c r="B40" s="30" t="n">
        <x:v>46153.583333333336</x:v>
      </x:c>
      <x:c r="C40" s="30" t="n">
        <x:v>46153.583333333336</x:v>
      </x:c>
      <x:c r="D40" s="25" t="str">
        <x:v>Oeste</x:v>
      </x:c>
      <x:c r="E40" s="35" t="n">
        <x:v>0</x:v>
      </x:c>
      <x:c r="F40" s="35" t="str"/>
      <x:c r="G40" s="35" t="n">
        <x:v>0</x:v>
      </x:c>
      <x:c r="H40" s="34" t="b">
        <x:v>1</x:v>
      </x:c>
    </x:row>
    <x:row r="41">
      <x:c r="A41" s="25" t="str">
        <x:v>OS0040</x:v>
      </x:c>
      <x:c r="B41" s="30" t="n">
        <x:v>46154.625</x:v>
      </x:c>
      <x:c r="C41" s="30" t="n">
        <x:v>46154.625</x:v>
      </x:c>
      <x:c r="D41" s="25" t="str">
        <x:v>Centro</x:v>
      </x:c>
      <x:c r="E41" s="35" t="n">
        <x:v>0</x:v>
      </x:c>
      <x:c r="F41" s="35" t="str"/>
      <x:c r="G41" s="35" t="n">
        <x:v>0</x:v>
      </x:c>
      <x:c r="H41" s="34" t="b">
        <x:v>1</x:v>
      </x:c>
    </x:row>
    <x:row r="42">
      <x:c r="A42" s="25" t="str">
        <x:v>OS0041</x:v>
      </x:c>
      <x:c r="B42" s="30" t="n">
        <x:v>46155.333333333336</x:v>
      </x:c>
      <x:c r="C42" s="30" t="n">
        <x:v>46155.333333333336</x:v>
      </x:c>
      <x:c r="D42" s="25" t="str">
        <x:v>Norte</x:v>
      </x:c>
      <x:c r="E42" s="35" t="n">
        <x:v>0</x:v>
      </x:c>
      <x:c r="F42" s="35" t="str"/>
      <x:c r="G42" s="35" t="n">
        <x:v>0</x:v>
      </x:c>
      <x:c r="H42" s="34" t="b">
        <x:v>1</x:v>
      </x:c>
    </x:row>
    <x:row r="43">
      <x:c r="A43" s="25" t="str">
        <x:v>OS0042</x:v>
      </x:c>
      <x:c r="B43" s="30" t="n">
        <x:v>46156.375</x:v>
      </x:c>
      <x:c r="C43" s="30" t="n">
        <x:v>46156.375</x:v>
      </x:c>
      <x:c r="D43" s="25" t="str">
        <x:v>Sul</x:v>
      </x:c>
      <x:c r="E43" s="35" t="n">
        <x:v>0</x:v>
      </x:c>
      <x:c r="F43" s="35" t="str"/>
      <x:c r="G43" s="35" t="n">
        <x:v>0</x:v>
      </x:c>
      <x:c r="H43" s="34" t="b">
        <x:v>1</x:v>
      </x:c>
    </x:row>
    <x:row r="44">
      <x:c r="A44" s="25" t="str">
        <x:v>OS0043</x:v>
      </x:c>
      <x:c r="B44" s="30" t="n">
        <x:v>46157.416666666664</x:v>
      </x:c>
      <x:c r="C44" s="30" t="n">
        <x:v>46157.416666666664</x:v>
      </x:c>
      <x:c r="D44" s="25" t="str">
        <x:v>Leste</x:v>
      </x:c>
      <x:c r="E44" s="35" t="n">
        <x:v>0</x:v>
      </x:c>
      <x:c r="F44" s="35" t="str"/>
      <x:c r="G44" s="35" t="n">
        <x:v>0</x:v>
      </x:c>
      <x:c r="H44" s="34" t="b">
        <x:v>1</x:v>
      </x:c>
    </x:row>
    <x:row r="45">
      <x:c r="A45" s="25" t="str">
        <x:v>OS0044</x:v>
      </x:c>
      <x:c r="B45" s="30" t="n">
        <x:v>46158.458333333336</x:v>
      </x:c>
      <x:c r="C45" s="30" t="n">
        <x:v>46158.458333333336</x:v>
      </x:c>
      <x:c r="D45" s="25" t="str">
        <x:v>Oeste</x:v>
      </x:c>
      <x:c r="E45" s="35" t="n">
        <x:v>0</x:v>
      </x:c>
      <x:c r="F45" s="35" t="str"/>
      <x:c r="G45" s="35" t="n">
        <x:v>0</x:v>
      </x:c>
      <x:c r="H45" s="34" t="b">
        <x:v>1</x:v>
      </x:c>
    </x:row>
    <x:row r="46">
      <x:c r="A46" s="25" t="str">
        <x:v>OS0045</x:v>
      </x:c>
      <x:c r="B46" s="30" t="n">
        <x:v>46159.5</x:v>
      </x:c>
      <x:c r="C46" s="30" t="n">
        <x:v>46159.5</x:v>
      </x:c>
      <x:c r="D46" s="25" t="str">
        <x:v>Centro</x:v>
      </x:c>
      <x:c r="E46" s="35" t="n">
        <x:v>0</x:v>
      </x:c>
      <x:c r="F46" s="35" t="str"/>
      <x:c r="G46" s="35" t="n">
        <x:v>0</x:v>
      </x:c>
      <x:c r="H46" s="34" t="b">
        <x:v>1</x:v>
      </x:c>
    </x:row>
    <x:row r="47">
      <x:c r="A47" s="25" t="str">
        <x:v>OS0046</x:v>
      </x:c>
      <x:c r="B47" s="30" t="n">
        <x:v>46160.541666666664</x:v>
      </x:c>
      <x:c r="C47" s="30" t="n">
        <x:v>46160.541666666664</x:v>
      </x:c>
      <x:c r="D47" s="25" t="str">
        <x:v>Norte</x:v>
      </x:c>
      <x:c r="E47" s="35" t="n">
        <x:v>0</x:v>
      </x:c>
      <x:c r="F47" s="35" t="str"/>
      <x:c r="G47" s="35" t="n">
        <x:v>0</x:v>
      </x:c>
      <x:c r="H47" s="34" t="b">
        <x:v>1</x:v>
      </x:c>
    </x:row>
    <x:row r="48">
      <x:c r="A48" s="25" t="str">
        <x:v>OS0047</x:v>
      </x:c>
      <x:c r="B48" s="30" t="n">
        <x:v>46161.583333333336</x:v>
      </x:c>
      <x:c r="C48" s="30" t="n">
        <x:v>46161.583333333336</x:v>
      </x:c>
      <x:c r="D48" s="25" t="str">
        <x:v>Sul</x:v>
      </x:c>
      <x:c r="E48" s="35" t="n">
        <x:v>0</x:v>
      </x:c>
      <x:c r="F48" s="35" t="str"/>
      <x:c r="G48" s="35" t="n">
        <x:v>0</x:v>
      </x:c>
      <x:c r="H48" s="34" t="b">
        <x:v>1</x:v>
      </x:c>
    </x:row>
    <x:row r="49">
      <x:c r="A49" s="25" t="str">
        <x:v>OS0048</x:v>
      </x:c>
      <x:c r="B49" s="30" t="n">
        <x:v>46162.625</x:v>
      </x:c>
      <x:c r="C49" s="30" t="n">
        <x:v>46162.625</x:v>
      </x:c>
      <x:c r="D49" s="25" t="str">
        <x:v>Leste</x:v>
      </x:c>
      <x:c r="E49" s="35" t="n">
        <x:v>0</x:v>
      </x:c>
      <x:c r="F49" s="35" t="str"/>
      <x:c r="G49" s="35" t="n">
        <x:v>0</x:v>
      </x:c>
      <x:c r="H49" s="34" t="b">
        <x:v>1</x:v>
      </x:c>
    </x:row>
    <x:row r="50">
      <x:c r="A50" s="25" t="str">
        <x:v>OS0049</x:v>
      </x:c>
      <x:c r="B50" s="30" t="n">
        <x:v>46163.333333333336</x:v>
      </x:c>
      <x:c r="C50" s="30" t="n">
        <x:v>46163.333333333336</x:v>
      </x:c>
      <x:c r="D50" s="25" t="str">
        <x:v>Oeste</x:v>
      </x:c>
      <x:c r="E50" s="35" t="n">
        <x:v>0</x:v>
      </x:c>
      <x:c r="F50" s="35" t="str"/>
      <x:c r="G50" s="35" t="n">
        <x:v>0</x:v>
      </x:c>
      <x:c r="H50" s="34" t="b">
        <x:v>1</x:v>
      </x:c>
    </x:row>
    <x:row r="51">
      <x:c r="A51" s="25" t="str">
        <x:v>OS0050</x:v>
      </x:c>
      <x:c r="B51" s="30" t="n">
        <x:v>46164.375</x:v>
      </x:c>
      <x:c r="C51" s="30" t="n">
        <x:v>46164.375</x:v>
      </x:c>
      <x:c r="D51" s="25" t="str">
        <x:v>Centro</x:v>
      </x:c>
      <x:c r="E51" s="35" t="n">
        <x:v>0</x:v>
      </x:c>
      <x:c r="F51" s="35" t="str"/>
      <x:c r="G51" s="35" t="n">
        <x:v>0</x:v>
      </x:c>
      <x:c r="H51" s="34" t="b">
        <x:v>1</x:v>
      </x:c>
    </x:row>
    <x:row r="52">
      <x:c r="A52" s="25" t="str">
        <x:v>OS0051</x:v>
      </x:c>
      <x:c r="B52" s="30" t="n">
        <x:v>46165.416666666664</x:v>
      </x:c>
      <x:c r="C52" s="30" t="n">
        <x:v>46165.416666666664</x:v>
      </x:c>
      <x:c r="D52" s="25" t="str">
        <x:v>Norte</x:v>
      </x:c>
      <x:c r="E52" s="35" t="n">
        <x:v>0</x:v>
      </x:c>
      <x:c r="F52" s="35" t="str"/>
      <x:c r="G52" s="35" t="n">
        <x:v>0</x:v>
      </x:c>
      <x:c r="H52" s="34" t="b">
        <x:v>1</x:v>
      </x:c>
    </x:row>
    <x:row r="53">
      <x:c r="A53" s="25" t="str">
        <x:v>OS0052</x:v>
      </x:c>
      <x:c r="B53" s="30" t="n">
        <x:v>46166.458333333336</x:v>
      </x:c>
      <x:c r="C53" s="30" t="n">
        <x:v>46166.458333333336</x:v>
      </x:c>
      <x:c r="D53" s="25" t="str">
        <x:v>Sul</x:v>
      </x:c>
      <x:c r="E53" s="35" t="n">
        <x:v>0</x:v>
      </x:c>
      <x:c r="F53" s="35" t="str"/>
      <x:c r="G53" s="35" t="n">
        <x:v>0</x:v>
      </x:c>
      <x:c r="H53" s="34" t="b">
        <x:v>1</x:v>
      </x:c>
    </x:row>
    <x:row r="54">
      <x:c r="A54" s="25" t="str">
        <x:v>OS0053</x:v>
      </x:c>
      <x:c r="B54" s="30" t="n">
        <x:v>46167.5</x:v>
      </x:c>
      <x:c r="C54" s="30" t="n">
        <x:v>46167.5</x:v>
      </x:c>
      <x:c r="D54" s="25" t="str">
        <x:v>Leste</x:v>
      </x:c>
      <x:c r="E54" s="35" t="n">
        <x:v>0</x:v>
      </x:c>
      <x:c r="F54" s="35" t="str"/>
      <x:c r="G54" s="35" t="n">
        <x:v>0</x:v>
      </x:c>
      <x:c r="H54" s="34" t="b">
        <x:v>1</x:v>
      </x:c>
    </x:row>
    <x:row r="55">
      <x:c r="A55" s="25" t="str">
        <x:v>OS0054</x:v>
      </x:c>
      <x:c r="B55" s="30" t="n">
        <x:v>46168.541666666664</x:v>
      </x:c>
      <x:c r="C55" s="30" t="n">
        <x:v>46168.541666666664</x:v>
      </x:c>
      <x:c r="D55" s="25" t="str">
        <x:v>Oeste</x:v>
      </x:c>
      <x:c r="E55" s="35" t="n">
        <x:v>0</x:v>
      </x:c>
      <x:c r="F55" s="35" t="str"/>
      <x:c r="G55" s="35" t="n">
        <x:v>0</x:v>
      </x:c>
      <x:c r="H55" s="34" t="b">
        <x:v>1</x:v>
      </x:c>
    </x:row>
    <x:row r="56">
      <x:c r="A56" s="25" t="str">
        <x:v>OS0055</x:v>
      </x:c>
      <x:c r="B56" s="30" t="n">
        <x:v>46169.583333333336</x:v>
      </x:c>
      <x:c r="C56" s="30" t="n">
        <x:v>46169.583333333336</x:v>
      </x:c>
      <x:c r="D56" s="25" t="str">
        <x:v>Centro</x:v>
      </x:c>
      <x:c r="E56" s="35" t="n">
        <x:v>0</x:v>
      </x:c>
      <x:c r="F56" s="35" t="str"/>
      <x:c r="G56" s="35" t="n">
        <x:v>0</x:v>
      </x:c>
      <x:c r="H56" s="34" t="b">
        <x:v>1</x:v>
      </x:c>
    </x:row>
    <x:row r="57">
      <x:c r="A57" s="25" t="str">
        <x:v>OS0056</x:v>
      </x:c>
      <x:c r="B57" s="30" t="n">
        <x:v>46170.625</x:v>
      </x:c>
      <x:c r="C57" s="30" t="n">
        <x:v>46170.625</x:v>
      </x:c>
      <x:c r="D57" s="25" t="str">
        <x:v>Norte</x:v>
      </x:c>
      <x:c r="E57" s="35" t="n">
        <x:v>0</x:v>
      </x:c>
      <x:c r="F57" s="35" t="str"/>
      <x:c r="G57" s="35" t="n">
        <x:v>0</x:v>
      </x:c>
      <x:c r="H57" s="34" t="b">
        <x:v>1</x:v>
      </x:c>
    </x:row>
    <x:row r="58">
      <x:c r="A58" s="25" t="str">
        <x:v>OS0057</x:v>
      </x:c>
      <x:c r="B58" s="30" t="n">
        <x:v>46143.333333333336</x:v>
      </x:c>
      <x:c r="C58" s="30" t="n">
        <x:v>46143.333333333336</x:v>
      </x:c>
      <x:c r="D58" s="25" t="str">
        <x:v>Sul</x:v>
      </x:c>
      <x:c r="E58" s="35" t="n">
        <x:v>0</x:v>
      </x:c>
      <x:c r="F58" s="35" t="str"/>
      <x:c r="G58" s="35" t="n">
        <x:v>0</x:v>
      </x:c>
      <x:c r="H58" s="34" t="b">
        <x:v>1</x:v>
      </x:c>
    </x:row>
    <x:row r="59">
      <x:c r="A59" s="25" t="str">
        <x:v>OS0058</x:v>
      </x:c>
      <x:c r="B59" s="30" t="n">
        <x:v>46144.375</x:v>
      </x:c>
      <x:c r="C59" s="30" t="n">
        <x:v>46144.375</x:v>
      </x:c>
      <x:c r="D59" s="25" t="str">
        <x:v>Leste</x:v>
      </x:c>
      <x:c r="E59" s="35" t="n">
        <x:v>0</x:v>
      </x:c>
      <x:c r="F59" s="35" t="str"/>
      <x:c r="G59" s="35" t="n">
        <x:v>0</x:v>
      </x:c>
      <x:c r="H59" s="34" t="b">
        <x:v>1</x:v>
      </x:c>
    </x:row>
    <x:row r="60">
      <x:c r="A60" s="25" t="str">
        <x:v>OS0059</x:v>
      </x:c>
      <x:c r="B60" s="30" t="n">
        <x:v>46145.416666666664</x:v>
      </x:c>
      <x:c r="C60" s="30" t="n">
        <x:v>46145.416666666664</x:v>
      </x:c>
      <x:c r="D60" s="25" t="str">
        <x:v>Oeste</x:v>
      </x:c>
      <x:c r="E60" s="35" t="n">
        <x:v>0</x:v>
      </x:c>
      <x:c r="F60" s="35" t="str"/>
      <x:c r="G60" s="35" t="n">
        <x:v>0</x:v>
      </x:c>
      <x:c r="H60" s="34" t="b">
        <x:v>1</x:v>
      </x:c>
    </x:row>
    <x:row r="61">
      <x:c r="A61" s="25" t="str">
        <x:v>OS0060</x:v>
      </x:c>
      <x:c r="B61" s="30" t="n">
        <x:v>46146.458333333336</x:v>
      </x:c>
      <x:c r="C61" s="30" t="n">
        <x:v>46146.458333333336</x:v>
      </x:c>
      <x:c r="D61" s="25" t="str">
        <x:v>Centro</x:v>
      </x:c>
      <x:c r="E61" s="35" t="n">
        <x:v>0</x:v>
      </x:c>
      <x:c r="F61" s="35" t="str"/>
      <x:c r="G61" s="35" t="n">
        <x:v>0</x:v>
      </x:c>
      <x:c r="H61" s="34" t="b">
        <x:v>1</x:v>
      </x:c>
    </x:row>
    <x:row r="62">
      <x:c r="A62" s="25" t="str">
        <x:v>OS0061</x:v>
      </x:c>
      <x:c r="B62" s="30" t="n">
        <x:v>46147.5</x:v>
      </x:c>
      <x:c r="C62" s="30" t="n">
        <x:v>46147.5</x:v>
      </x:c>
      <x:c r="D62" s="25" t="str">
        <x:v>Norte</x:v>
      </x:c>
      <x:c r="E62" s="35" t="n">
        <x:v>0</x:v>
      </x:c>
      <x:c r="F62" s="35" t="str"/>
      <x:c r="G62" s="35" t="n">
        <x:v>0</x:v>
      </x:c>
      <x:c r="H62" s="34" t="b">
        <x:v>1</x:v>
      </x:c>
    </x:row>
    <x:row r="63">
      <x:c r="A63" s="25" t="str">
        <x:v>OS0062</x:v>
      </x:c>
      <x:c r="B63" s="30" t="n">
        <x:v>46148.541666666664</x:v>
      </x:c>
      <x:c r="C63" s="30" t="n">
        <x:v>46148.541666666664</x:v>
      </x:c>
      <x:c r="D63" s="25" t="str">
        <x:v>Sul</x:v>
      </x:c>
      <x:c r="E63" s="35" t="n">
        <x:v>0</x:v>
      </x:c>
      <x:c r="F63" s="35" t="str"/>
      <x:c r="G63" s="35" t="n">
        <x:v>0</x:v>
      </x:c>
      <x:c r="H63" s="34" t="b">
        <x:v>1</x:v>
      </x:c>
    </x:row>
    <x:row r="64">
      <x:c r="A64" s="25" t="str">
        <x:v>OS0063</x:v>
      </x:c>
      <x:c r="B64" s="30" t="n">
        <x:v>46149.583333333336</x:v>
      </x:c>
      <x:c r="C64" s="30" t="n">
        <x:v>46149.583333333336</x:v>
      </x:c>
      <x:c r="D64" s="25" t="str">
        <x:v>Leste</x:v>
      </x:c>
      <x:c r="E64" s="35" t="n">
        <x:v>0</x:v>
      </x:c>
      <x:c r="F64" s="35" t="str"/>
      <x:c r="G64" s="35" t="n">
        <x:v>0</x:v>
      </x:c>
      <x:c r="H64" s="34" t="b">
        <x:v>1</x:v>
      </x:c>
    </x:row>
    <x:row r="65">
      <x:c r="A65" s="25" t="str">
        <x:v>OS0064</x:v>
      </x:c>
      <x:c r="B65" s="30" t="n">
        <x:v>46150.625</x:v>
      </x:c>
      <x:c r="C65" s="30" t="n">
        <x:v>46150.625</x:v>
      </x:c>
      <x:c r="D65" s="25" t="str">
        <x:v>Oeste</x:v>
      </x:c>
      <x:c r="E65" s="35" t="n">
        <x:v>0</x:v>
      </x:c>
      <x:c r="F65" s="35" t="str"/>
      <x:c r="G65" s="35" t="n">
        <x:v>0</x:v>
      </x:c>
      <x:c r="H65" s="34" t="b">
        <x:v>1</x:v>
      </x:c>
    </x:row>
    <x:row r="66">
      <x:c r="A66" s="25" t="str">
        <x:v>OS0065</x:v>
      </x:c>
      <x:c r="B66" s="30" t="n">
        <x:v>46151.333333333336</x:v>
      </x:c>
      <x:c r="C66" s="30" t="n">
        <x:v>46151.333333333336</x:v>
      </x:c>
      <x:c r="D66" s="25" t="str">
        <x:v>Centro</x:v>
      </x:c>
      <x:c r="E66" s="35" t="n">
        <x:v>0</x:v>
      </x:c>
      <x:c r="F66" s="35" t="str"/>
      <x:c r="G66" s="35" t="n">
        <x:v>0</x:v>
      </x:c>
      <x:c r="H66" s="34" t="b">
        <x:v>1</x:v>
      </x:c>
    </x:row>
    <x:row r="67">
      <x:c r="A67" s="25" t="str">
        <x:v>OS0066</x:v>
      </x:c>
      <x:c r="B67" s="30" t="n">
        <x:v>46152.375</x:v>
      </x:c>
      <x:c r="C67" s="30" t="n">
        <x:v>46152.375</x:v>
      </x:c>
      <x:c r="D67" s="25" t="str">
        <x:v>Norte</x:v>
      </x:c>
      <x:c r="E67" s="35" t="n">
        <x:v>0</x:v>
      </x:c>
      <x:c r="F67" s="35" t="str"/>
      <x:c r="G67" s="35" t="n">
        <x:v>0</x:v>
      </x:c>
      <x:c r="H67" s="34" t="b">
        <x:v>1</x:v>
      </x:c>
    </x:row>
    <x:row r="68">
      <x:c r="A68" s="25" t="str">
        <x:v>OS0067</x:v>
      </x:c>
      <x:c r="B68" s="30" t="n">
        <x:v>46153.416666666664</x:v>
      </x:c>
      <x:c r="C68" s="30" t="n">
        <x:v>46153.416666666664</x:v>
      </x:c>
      <x:c r="D68" s="25" t="str">
        <x:v>Sul</x:v>
      </x:c>
      <x:c r="E68" s="35" t="n">
        <x:v>0</x:v>
      </x:c>
      <x:c r="F68" s="35" t="str"/>
      <x:c r="G68" s="35" t="n">
        <x:v>0</x:v>
      </x:c>
      <x:c r="H68" s="34" t="b">
        <x:v>1</x:v>
      </x:c>
    </x:row>
    <x:row r="69">
      <x:c r="A69" s="25" t="str">
        <x:v>OS0068</x:v>
      </x:c>
      <x:c r="B69" s="30" t="n">
        <x:v>46154.458333333336</x:v>
      </x:c>
      <x:c r="C69" s="30" t="n">
        <x:v>46154.458333333336</x:v>
      </x:c>
      <x:c r="D69" s="25" t="str">
        <x:v>Leste</x:v>
      </x:c>
      <x:c r="E69" s="35" t="n">
        <x:v>0</x:v>
      </x:c>
      <x:c r="F69" s="35" t="str"/>
      <x:c r="G69" s="35" t="n">
        <x:v>0</x:v>
      </x:c>
      <x:c r="H69" s="34" t="b">
        <x:v>1</x:v>
      </x:c>
    </x:row>
    <x:row r="70">
      <x:c r="A70" s="25" t="str">
        <x:v>OS0069</x:v>
      </x:c>
      <x:c r="B70" s="30" t="n">
        <x:v>46155.5</x:v>
      </x:c>
      <x:c r="C70" s="30" t="n">
        <x:v>46155.5</x:v>
      </x:c>
      <x:c r="D70" s="25" t="str">
        <x:v>Oeste</x:v>
      </x:c>
      <x:c r="E70" s="35" t="n">
        <x:v>0</x:v>
      </x:c>
      <x:c r="F70" s="35" t="str"/>
      <x:c r="G70" s="35" t="n">
        <x:v>0</x:v>
      </x:c>
      <x:c r="H70" s="34" t="b">
        <x:v>1</x:v>
      </x:c>
    </x:row>
    <x:row r="71">
      <x:c r="A71" s="25" t="str">
        <x:v>OS0070</x:v>
      </x:c>
      <x:c r="B71" s="30" t="n">
        <x:v>46156.541666666664</x:v>
      </x:c>
      <x:c r="C71" s="30" t="n">
        <x:v>46156.541666666664</x:v>
      </x:c>
      <x:c r="D71" s="25" t="str">
        <x:v>Centro</x:v>
      </x:c>
      <x:c r="E71" s="35" t="n">
        <x:v>0</x:v>
      </x:c>
      <x:c r="F71" s="35" t="str"/>
      <x:c r="G71" s="35" t="n">
        <x:v>0</x:v>
      </x:c>
      <x:c r="H71" s="34" t="b">
        <x:v>1</x:v>
      </x:c>
    </x:row>
    <x:row r="72">
      <x:c r="A72" s="25" t="str">
        <x:v>OS0071</x:v>
      </x:c>
      <x:c r="B72" s="30" t="n">
        <x:v>46157.583333333336</x:v>
      </x:c>
      <x:c r="C72" s="30" t="n">
        <x:v>46157.583333333336</x:v>
      </x:c>
      <x:c r="D72" s="25" t="str">
        <x:v>Norte</x:v>
      </x:c>
      <x:c r="E72" s="35" t="n">
        <x:v>0</x:v>
      </x:c>
      <x:c r="F72" s="35" t="str"/>
      <x:c r="G72" s="35" t="n">
        <x:v>0</x:v>
      </x:c>
      <x:c r="H72" s="34" t="b">
        <x:v>1</x:v>
      </x:c>
    </x:row>
    <x:row r="73">
      <x:c r="A73" s="25" t="str">
        <x:v>OS0072</x:v>
      </x:c>
      <x:c r="B73" s="30" t="n">
        <x:v>46158.625</x:v>
      </x:c>
      <x:c r="C73" s="30" t="n">
        <x:v>46158.625</x:v>
      </x:c>
      <x:c r="D73" s="25" t="str">
        <x:v>Sul</x:v>
      </x:c>
      <x:c r="E73" s="35" t="n">
        <x:v>0</x:v>
      </x:c>
      <x:c r="F73" s="35" t="str"/>
      <x:c r="G73" s="35" t="n">
        <x:v>0</x:v>
      </x:c>
      <x:c r="H73" s="34" t="b">
        <x:v>1</x:v>
      </x:c>
    </x:row>
    <x:row r="74">
      <x:c r="A74" s="25" t="str">
        <x:v>OS0073</x:v>
      </x:c>
      <x:c r="B74" s="30" t="n">
        <x:v>46159.333333333336</x:v>
      </x:c>
      <x:c r="C74" s="30" t="n">
        <x:v>46159.333333333336</x:v>
      </x:c>
      <x:c r="D74" s="25" t="str">
        <x:v>Leste</x:v>
      </x:c>
      <x:c r="E74" s="35" t="n">
        <x:v>0</x:v>
      </x:c>
      <x:c r="F74" s="35" t="str"/>
      <x:c r="G74" s="35" t="n">
        <x:v>0</x:v>
      </x:c>
      <x:c r="H74" s="34" t="b">
        <x:v>1</x:v>
      </x:c>
    </x:row>
    <x:row r="75">
      <x:c r="A75" s="25" t="str">
        <x:v>OS0074</x:v>
      </x:c>
      <x:c r="B75" s="30" t="n">
        <x:v>46160.375</x:v>
      </x:c>
      <x:c r="C75" s="30" t="n">
        <x:v>46160.375</x:v>
      </x:c>
      <x:c r="D75" s="25" t="str">
        <x:v>Oeste</x:v>
      </x:c>
      <x:c r="E75" s="35" t="n">
        <x:v>0</x:v>
      </x:c>
      <x:c r="F75" s="35" t="str"/>
      <x:c r="G75" s="35" t="n">
        <x:v>0</x:v>
      </x:c>
      <x:c r="H75" s="34" t="b">
        <x:v>1</x:v>
      </x:c>
    </x:row>
    <x:row r="76">
      <x:c r="A76" s="25" t="str">
        <x:v>OS0075</x:v>
      </x:c>
      <x:c r="B76" s="30" t="n">
        <x:v>46161.416666666664</x:v>
      </x:c>
      <x:c r="C76" s="30" t="n">
        <x:v>46161.416666666664</x:v>
      </x:c>
      <x:c r="D76" s="25" t="str">
        <x:v>Centro</x:v>
      </x:c>
      <x:c r="E76" s="35" t="n">
        <x:v>0</x:v>
      </x:c>
      <x:c r="F76" s="35" t="str"/>
      <x:c r="G76" s="35" t="n">
        <x:v>0</x:v>
      </x:c>
      <x:c r="H76" s="34" t="b">
        <x:v>1</x:v>
      </x:c>
    </x:row>
    <x:row r="77">
      <x:c r="A77" s="25" t="str">
        <x:v>OS0076</x:v>
      </x:c>
      <x:c r="B77" s="30" t="n">
        <x:v>46162.458333333336</x:v>
      </x:c>
      <x:c r="C77" s="30" t="n">
        <x:v>46162.458333333336</x:v>
      </x:c>
      <x:c r="D77" s="25" t="str">
        <x:v>Norte</x:v>
      </x:c>
      <x:c r="E77" s="35" t="n">
        <x:v>0</x:v>
      </x:c>
      <x:c r="F77" s="35" t="str"/>
      <x:c r="G77" s="35" t="n">
        <x:v>0</x:v>
      </x:c>
      <x:c r="H77" s="34" t="b">
        <x:v>1</x:v>
      </x:c>
    </x:row>
    <x:row r="78">
      <x:c r="A78" s="25" t="str">
        <x:v>OS0077</x:v>
      </x:c>
      <x:c r="B78" s="30" t="n">
        <x:v>46163.5</x:v>
      </x:c>
      <x:c r="C78" s="30" t="n">
        <x:v>46163.5</x:v>
      </x:c>
      <x:c r="D78" s="25" t="str">
        <x:v>Sul</x:v>
      </x:c>
      <x:c r="E78" s="35" t="n">
        <x:v>0</x:v>
      </x:c>
      <x:c r="F78" s="35" t="str"/>
      <x:c r="G78" s="35" t="n">
        <x:v>0</x:v>
      </x:c>
      <x:c r="H78" s="34" t="b">
        <x:v>1</x:v>
      </x:c>
    </x:row>
    <x:row r="79">
      <x:c r="A79" s="25" t="str">
        <x:v>OS0078</x:v>
      </x:c>
      <x:c r="B79" s="30" t="n">
        <x:v>46164.541666666664</x:v>
      </x:c>
      <x:c r="C79" s="30" t="n">
        <x:v>46164.541666666664</x:v>
      </x:c>
      <x:c r="D79" s="25" t="str">
        <x:v>Leste</x:v>
      </x:c>
      <x:c r="E79" s="35" t="n">
        <x:v>0</x:v>
      </x:c>
      <x:c r="F79" s="35" t="str"/>
      <x:c r="G79" s="35" t="n">
        <x:v>0</x:v>
      </x:c>
      <x:c r="H79" s="34" t="b">
        <x:v>1</x:v>
      </x:c>
    </x:row>
    <x:row r="80">
      <x:c r="A80" s="25" t="str">
        <x:v>OS0079</x:v>
      </x:c>
      <x:c r="B80" s="30" t="n">
        <x:v>46165.583333333336</x:v>
      </x:c>
      <x:c r="C80" s="30" t="n">
        <x:v>46165.583333333336</x:v>
      </x:c>
      <x:c r="D80" s="25" t="str">
        <x:v>Oeste</x:v>
      </x:c>
      <x:c r="E80" s="35" t="n">
        <x:v>0</x:v>
      </x:c>
      <x:c r="F80" s="35" t="str"/>
      <x:c r="G80" s="35" t="n">
        <x:v>0</x:v>
      </x:c>
      <x:c r="H80" s="34" t="b">
        <x:v>1</x:v>
      </x:c>
    </x:row>
    <x:row r="81">
      <x:c r="A81" s="25" t="str">
        <x:v>OS0080</x:v>
      </x:c>
      <x:c r="B81" s="30" t="n">
        <x:v>46166.625</x:v>
      </x:c>
      <x:c r="C81" s="30" t="n">
        <x:v>46166.625</x:v>
      </x:c>
      <x:c r="D81" s="25" t="str">
        <x:v>Centro</x:v>
      </x:c>
      <x:c r="E81" s="35" t="n">
        <x:v>0</x:v>
      </x:c>
      <x:c r="F81" s="35" t="str"/>
      <x:c r="G81" s="35" t="n">
        <x:v>0</x:v>
      </x:c>
      <x:c r="H81" s="34" t="b">
        <x:v>1</x:v>
      </x:c>
    </x:row>
    <x:row r="82">
      <x:c r="A82" s="25" t="str">
        <x:v>OS0081</x:v>
      </x:c>
      <x:c r="B82" s="30" t="n">
        <x:v>46167.333333333336</x:v>
      </x:c>
      <x:c r="C82" s="30" t="n">
        <x:v>46167.333333333336</x:v>
      </x:c>
      <x:c r="D82" s="25" t="str">
        <x:v>Norte</x:v>
      </x:c>
      <x:c r="E82" s="35" t="n">
        <x:v>0</x:v>
      </x:c>
      <x:c r="F82" s="35" t="str"/>
      <x:c r="G82" s="35" t="n">
        <x:v>0</x:v>
      </x:c>
      <x:c r="H82" s="34" t="b">
        <x:v>1</x:v>
      </x:c>
    </x:row>
    <x:row r="83">
      <x:c r="A83" s="25" t="str">
        <x:v>OS0082</x:v>
      </x:c>
      <x:c r="B83" s="30" t="n">
        <x:v>46168.375</x:v>
      </x:c>
      <x:c r="C83" s="30" t="n">
        <x:v>46168.375</x:v>
      </x:c>
      <x:c r="D83" s="25" t="str">
        <x:v>Sul</x:v>
      </x:c>
      <x:c r="E83" s="35" t="n">
        <x:v>0</x:v>
      </x:c>
      <x:c r="F83" s="35" t="str"/>
      <x:c r="G83" s="35" t="n">
        <x:v>0</x:v>
      </x:c>
      <x:c r="H83" s="34" t="b">
        <x:v>1</x:v>
      </x:c>
    </x:row>
    <x:row r="84">
      <x:c r="A84" s="25" t="str">
        <x:v>OS0083</x:v>
      </x:c>
      <x:c r="B84" s="30" t="n">
        <x:v>46169.416666666664</x:v>
      </x:c>
      <x:c r="C84" s="30" t="n">
        <x:v>46169.416666666664</x:v>
      </x:c>
      <x:c r="D84" s="25" t="str">
        <x:v>Leste</x:v>
      </x:c>
      <x:c r="E84" s="35" t="n">
        <x:v>0</x:v>
      </x:c>
      <x:c r="F84" s="35" t="str"/>
      <x:c r="G84" s="35" t="n">
        <x:v>0</x:v>
      </x:c>
      <x:c r="H84" s="34" t="b">
        <x:v>1</x:v>
      </x:c>
    </x:row>
    <x:row r="85">
      <x:c r="A85" s="25" t="str">
        <x:v>OS0084</x:v>
      </x:c>
      <x:c r="B85" s="30" t="n">
        <x:v>46170.458333333336</x:v>
      </x:c>
      <x:c r="C85" s="30" t="n">
        <x:v>46170.458333333336</x:v>
      </x:c>
      <x:c r="D85" s="25" t="str">
        <x:v>Oeste</x:v>
      </x:c>
      <x:c r="E85" s="35" t="n">
        <x:v>0</x:v>
      </x:c>
      <x:c r="F85" s="35" t="str"/>
      <x:c r="G85" s="35" t="n">
        <x:v>0</x:v>
      </x:c>
      <x:c r="H85" s="34" t="b">
        <x:v>1</x:v>
      </x:c>
    </x:row>
    <x:row r="86">
      <x:c r="A86" s="25" t="str">
        <x:v>OS0085</x:v>
      </x:c>
      <x:c r="B86" s="30" t="n">
        <x:v>46143.5</x:v>
      </x:c>
      <x:c r="C86" s="30" t="n">
        <x:v>46143.5</x:v>
      </x:c>
      <x:c r="D86" s="25" t="str">
        <x:v>Centro</x:v>
      </x:c>
      <x:c r="E86" s="35" t="n">
        <x:v>0</x:v>
      </x:c>
      <x:c r="F86" s="35" t="str"/>
      <x:c r="G86" s="35" t="n">
        <x:v>0</x:v>
      </x:c>
      <x:c r="H86" s="34" t="b">
        <x:v>1</x:v>
      </x:c>
    </x:row>
    <x:row r="87">
      <x:c r="A87" s="25" t="str">
        <x:v>OS0086</x:v>
      </x:c>
      <x:c r="B87" s="30" t="n">
        <x:v>46144.541666666664</x:v>
      </x:c>
      <x:c r="C87" s="30" t="n">
        <x:v>46144.541666666664</x:v>
      </x:c>
      <x:c r="D87" s="25" t="str">
        <x:v>Norte</x:v>
      </x:c>
      <x:c r="E87" s="35" t="n">
        <x:v>0</x:v>
      </x:c>
      <x:c r="F87" s="35" t="str"/>
      <x:c r="G87" s="35" t="n">
        <x:v>0</x:v>
      </x:c>
      <x:c r="H87" s="34" t="b">
        <x:v>1</x:v>
      </x:c>
    </x:row>
    <x:row r="88">
      <x:c r="A88" s="25" t="str">
        <x:v>OS0087</x:v>
      </x:c>
      <x:c r="B88" s="30" t="n">
        <x:v>46145.583333333336</x:v>
      </x:c>
      <x:c r="C88" s="30" t="n">
        <x:v>46145.583333333336</x:v>
      </x:c>
      <x:c r="D88" s="25" t="str">
        <x:v>Sul</x:v>
      </x:c>
      <x:c r="E88" s="35" t="n">
        <x:v>0</x:v>
      </x:c>
      <x:c r="F88" s="35" t="str"/>
      <x:c r="G88" s="35" t="n">
        <x:v>0</x:v>
      </x:c>
      <x:c r="H88" s="34" t="b">
        <x:v>1</x:v>
      </x:c>
    </x:row>
    <x:row r="89">
      <x:c r="A89" s="25" t="str">
        <x:v>OS0088</x:v>
      </x:c>
      <x:c r="B89" s="30" t="n">
        <x:v>46146.625</x:v>
      </x:c>
      <x:c r="C89" s="30" t="n">
        <x:v>46146.625</x:v>
      </x:c>
      <x:c r="D89" s="25" t="str">
        <x:v>Leste</x:v>
      </x:c>
      <x:c r="E89" s="35" t="n">
        <x:v>0</x:v>
      </x:c>
      <x:c r="F89" s="35" t="str"/>
      <x:c r="G89" s="35" t="n">
        <x:v>0</x:v>
      </x:c>
      <x:c r="H89" s="34" t="b">
        <x:v>1</x:v>
      </x:c>
    </x:row>
    <x:row r="90">
      <x:c r="A90" s="25" t="str">
        <x:v>OS0089</x:v>
      </x:c>
      <x:c r="B90" s="30" t="n">
        <x:v>46147.333333333336</x:v>
      </x:c>
      <x:c r="C90" s="30" t="n">
        <x:v>46147.333333333336</x:v>
      </x:c>
      <x:c r="D90" s="25" t="str">
        <x:v>Oeste</x:v>
      </x:c>
      <x:c r="E90" s="35" t="n">
        <x:v>0</x:v>
      </x:c>
      <x:c r="F90" s="35" t="str"/>
      <x:c r="G90" s="35" t="n">
        <x:v>0</x:v>
      </x:c>
      <x:c r="H90" s="34" t="b">
        <x:v>1</x:v>
      </x:c>
    </x:row>
    <x:row r="91">
      <x:c r="A91" s="25" t="str">
        <x:v>OS0090</x:v>
      </x:c>
      <x:c r="B91" s="30" t="n">
        <x:v>46148.375</x:v>
      </x:c>
      <x:c r="C91" s="30" t="n">
        <x:v>46148.375</x:v>
      </x:c>
      <x:c r="D91" s="25" t="str">
        <x:v>Centro</x:v>
      </x:c>
      <x:c r="E91" s="35" t="n">
        <x:v>0</x:v>
      </x:c>
      <x:c r="F91" s="35" t="str"/>
      <x:c r="G91" s="35" t="n">
        <x:v>0</x:v>
      </x:c>
      <x:c r="H91" s="34" t="b">
        <x:v>1</x:v>
      </x:c>
    </x:row>
    <x:row r="92">
      <x:c r="A92" s="25" t="str">
        <x:v>OS0091</x:v>
      </x:c>
      <x:c r="B92" s="30" t="n">
        <x:v>46149.416666666664</x:v>
      </x:c>
      <x:c r="C92" s="30" t="n">
        <x:v>46149.416666666664</x:v>
      </x:c>
      <x:c r="D92" s="25" t="str">
        <x:v>Norte</x:v>
      </x:c>
      <x:c r="E92" s="35" t="n">
        <x:v>0</x:v>
      </x:c>
      <x:c r="F92" s="35" t="str"/>
      <x:c r="G92" s="35" t="n">
        <x:v>0</x:v>
      </x:c>
      <x:c r="H92" s="34" t="b">
        <x:v>1</x:v>
      </x:c>
    </x:row>
    <x:row r="93">
      <x:c r="A93" s="25" t="str">
        <x:v>OS0092</x:v>
      </x:c>
      <x:c r="B93" s="30" t="n">
        <x:v>46150.458333333336</x:v>
      </x:c>
      <x:c r="C93" s="30" t="n">
        <x:v>46150.458333333336</x:v>
      </x:c>
      <x:c r="D93" s="25" t="str">
        <x:v>Sul</x:v>
      </x:c>
      <x:c r="E93" s="35" t="n">
        <x:v>0</x:v>
      </x:c>
      <x:c r="F93" s="35" t="str"/>
      <x:c r="G93" s="35" t="n">
        <x:v>0</x:v>
      </x:c>
      <x:c r="H93" s="34" t="b">
        <x:v>1</x:v>
      </x:c>
    </x:row>
    <x:row r="94">
      <x:c r="A94" s="25" t="str">
        <x:v>OS0093</x:v>
      </x:c>
      <x:c r="B94" s="30" t="n">
        <x:v>46151.5</x:v>
      </x:c>
      <x:c r="C94" s="30" t="n">
        <x:v>46151.5</x:v>
      </x:c>
      <x:c r="D94" s="25" t="str">
        <x:v>Leste</x:v>
      </x:c>
      <x:c r="E94" s="35" t="n">
        <x:v>0</x:v>
      </x:c>
      <x:c r="F94" s="35" t="str"/>
      <x:c r="G94" s="35" t="n">
        <x:v>0</x:v>
      </x:c>
      <x:c r="H94" s="34" t="b">
        <x:v>1</x:v>
      </x:c>
    </x:row>
    <x:row r="95">
      <x:c r="A95" s="25" t="str">
        <x:v>OS0094</x:v>
      </x:c>
      <x:c r="B95" s="30" t="n">
        <x:v>46152.541666666664</x:v>
      </x:c>
      <x:c r="C95" s="30" t="n">
        <x:v>46152.541666666664</x:v>
      </x:c>
      <x:c r="D95" s="25" t="str">
        <x:v>Oeste</x:v>
      </x:c>
      <x:c r="E95" s="35" t="n">
        <x:v>0</x:v>
      </x:c>
      <x:c r="F95" s="35" t="str"/>
      <x:c r="G95" s="35" t="n">
        <x:v>0</x:v>
      </x:c>
      <x:c r="H95" s="34" t="b">
        <x:v>1</x:v>
      </x:c>
    </x:row>
    <x:row r="96">
      <x:c r="A96" s="25" t="str">
        <x:v>OS0095</x:v>
      </x:c>
      <x:c r="B96" s="30" t="n">
        <x:v>46153.583333333336</x:v>
      </x:c>
      <x:c r="C96" s="30" t="n">
        <x:v>46153.583333333336</x:v>
      </x:c>
      <x:c r="D96" s="25" t="str">
        <x:v>Centro</x:v>
      </x:c>
      <x:c r="E96" s="35" t="n">
        <x:v>0</x:v>
      </x:c>
      <x:c r="F96" s="35" t="str"/>
      <x:c r="G96" s="35" t="n">
        <x:v>0</x:v>
      </x:c>
      <x:c r="H96" s="34" t="b">
        <x:v>1</x:v>
      </x:c>
    </x:row>
    <x:row r="97">
      <x:c r="A97" s="25" t="str">
        <x:v>OS0096</x:v>
      </x:c>
      <x:c r="B97" s="30" t="n">
        <x:v>46154.625</x:v>
      </x:c>
      <x:c r="C97" s="30" t="n">
        <x:v>46154.625</x:v>
      </x:c>
      <x:c r="D97" s="25" t="str">
        <x:v>Norte</x:v>
      </x:c>
      <x:c r="E97" s="35" t="n">
        <x:v>0</x:v>
      </x:c>
      <x:c r="F97" s="35" t="str"/>
      <x:c r="G97" s="35" t="n">
        <x:v>0</x:v>
      </x:c>
      <x:c r="H97" s="34" t="b">
        <x:v>1</x:v>
      </x:c>
    </x:row>
    <x:row r="98">
      <x:c r="A98" s="25" t="str">
        <x:v>OS0097</x:v>
      </x:c>
      <x:c r="B98" s="30" t="n">
        <x:v>46155.333333333336</x:v>
      </x:c>
      <x:c r="C98" s="30" t="n">
        <x:v>46155.333333333336</x:v>
      </x:c>
      <x:c r="D98" s="25" t="str">
        <x:v>Sul</x:v>
      </x:c>
      <x:c r="E98" s="35" t="n">
        <x:v>0</x:v>
      </x:c>
      <x:c r="F98" s="35" t="str"/>
      <x:c r="G98" s="35" t="n">
        <x:v>0</x:v>
      </x:c>
      <x:c r="H98" s="34" t="b">
        <x:v>1</x:v>
      </x:c>
    </x:row>
    <x:row r="99">
      <x:c r="A99" s="25" t="str">
        <x:v>OS0098</x:v>
      </x:c>
      <x:c r="B99" s="30" t="n">
        <x:v>46156.375</x:v>
      </x:c>
      <x:c r="C99" s="30" t="n">
        <x:v>46156.375</x:v>
      </x:c>
      <x:c r="D99" s="25" t="str">
        <x:v>Leste</x:v>
      </x:c>
      <x:c r="E99" s="35" t="n">
        <x:v>0</x:v>
      </x:c>
      <x:c r="F99" s="35" t="str"/>
      <x:c r="G99" s="35" t="n">
        <x:v>0</x:v>
      </x:c>
      <x:c r="H99" s="34" t="b">
        <x:v>1</x:v>
      </x:c>
    </x:row>
    <x:row r="100">
      <x:c r="A100" s="25" t="str">
        <x:v>OS0099</x:v>
      </x:c>
      <x:c r="B100" s="30" t="n">
        <x:v>46157.416666666664</x:v>
      </x:c>
      <x:c r="C100" s="30" t="n">
        <x:v>46157.416666666664</x:v>
      </x:c>
      <x:c r="D100" s="25" t="str">
        <x:v>Oeste</x:v>
      </x:c>
      <x:c r="E100" s="35" t="n">
        <x:v>0</x:v>
      </x:c>
      <x:c r="F100" s="35" t="str"/>
      <x:c r="G100" s="35" t="n">
        <x:v>0</x:v>
      </x:c>
      <x:c r="H100" s="34" t="b">
        <x:v>1</x:v>
      </x:c>
    </x:row>
    <x:row r="101">
      <x:c r="A101" s="25" t="str">
        <x:v>OS0100</x:v>
      </x:c>
      <x:c r="B101" s="30" t="n">
        <x:v>46158.458333333336</x:v>
      </x:c>
      <x:c r="C101" s="30" t="n">
        <x:v>46158.458333333336</x:v>
      </x:c>
      <x:c r="D101" s="25" t="str">
        <x:v>Centro</x:v>
      </x:c>
      <x:c r="E101" s="35" t="n">
        <x:v>0</x:v>
      </x:c>
      <x:c r="F101" s="35" t="str"/>
      <x:c r="G101" s="35" t="n">
        <x:v>0</x:v>
      </x:c>
      <x:c r="H101" s="34" t="b">
        <x:v>1</x:v>
      </x:c>
    </x:row>
    <x:row r="102">
      <x:c r="A102" s="25" t="str">
        <x:v>OS0101</x:v>
      </x:c>
      <x:c r="B102" s="30" t="n">
        <x:v>46159.5</x:v>
      </x:c>
      <x:c r="C102" s="30" t="n">
        <x:v>46159.5</x:v>
      </x:c>
      <x:c r="D102" s="25" t="str">
        <x:v>Norte</x:v>
      </x:c>
      <x:c r="E102" s="35" t="n">
        <x:v>0</x:v>
      </x:c>
      <x:c r="F102" s="35" t="str"/>
      <x:c r="G102" s="35" t="n">
        <x:v>0</x:v>
      </x:c>
      <x:c r="H102" s="34" t="b">
        <x:v>1</x:v>
      </x:c>
    </x:row>
    <x:row r="103">
      <x:c r="A103" s="25" t="str">
        <x:v>OS0102</x:v>
      </x:c>
      <x:c r="B103" s="30" t="n">
        <x:v>46160.541666666664</x:v>
      </x:c>
      <x:c r="C103" s="30" t="n">
        <x:v>46160.541666666664</x:v>
      </x:c>
      <x:c r="D103" s="25" t="str">
        <x:v>Sul</x:v>
      </x:c>
      <x:c r="E103" s="35" t="n">
        <x:v>0</x:v>
      </x:c>
      <x:c r="F103" s="35" t="str"/>
      <x:c r="G103" s="35" t="n">
        <x:v>0</x:v>
      </x:c>
      <x:c r="H103" s="34" t="b">
        <x:v>1</x:v>
      </x:c>
    </x:row>
    <x:row r="104">
      <x:c r="A104" s="25" t="str">
        <x:v>OS0103</x:v>
      </x:c>
      <x:c r="B104" s="30" t="n">
        <x:v>46161.583333333336</x:v>
      </x:c>
      <x:c r="C104" s="30" t="n">
        <x:v>46161.583333333336</x:v>
      </x:c>
      <x:c r="D104" s="25" t="str">
        <x:v>Leste</x:v>
      </x:c>
      <x:c r="E104" s="35" t="n">
        <x:v>0</x:v>
      </x:c>
      <x:c r="F104" s="35" t="str"/>
      <x:c r="G104" s="35" t="n">
        <x:v>0</x:v>
      </x:c>
      <x:c r="H104" s="34" t="b">
        <x:v>1</x:v>
      </x:c>
    </x:row>
    <x:row r="105">
      <x:c r="A105" s="25" t="str">
        <x:v>OS0104</x:v>
      </x:c>
      <x:c r="B105" s="30" t="n">
        <x:v>46162.625</x:v>
      </x:c>
      <x:c r="C105" s="30" t="n">
        <x:v>46162.625</x:v>
      </x:c>
      <x:c r="D105" s="25" t="str">
        <x:v>Oeste</x:v>
      </x:c>
      <x:c r="E105" s="35" t="n">
        <x:v>0</x:v>
      </x:c>
      <x:c r="F105" s="35" t="str"/>
      <x:c r="G105" s="35" t="n">
        <x:v>0</x:v>
      </x:c>
      <x:c r="H105" s="34" t="b">
        <x:v>1</x:v>
      </x:c>
    </x:row>
    <x:row r="106">
      <x:c r="A106" s="25" t="str">
        <x:v>OS0105</x:v>
      </x:c>
      <x:c r="B106" s="30" t="n">
        <x:v>46163.333333333336</x:v>
      </x:c>
      <x:c r="C106" s="30" t="n">
        <x:v>46163.333333333336</x:v>
      </x:c>
      <x:c r="D106" s="25" t="str">
        <x:v>Centro</x:v>
      </x:c>
      <x:c r="E106" s="35" t="n">
        <x:v>0</x:v>
      </x:c>
      <x:c r="F106" s="35" t="str"/>
      <x:c r="G106" s="35" t="n">
        <x:v>0</x:v>
      </x:c>
      <x:c r="H106" s="34" t="b">
        <x:v>1</x:v>
      </x:c>
    </x:row>
    <x:row r="107">
      <x:c r="A107" s="25" t="str">
        <x:v>OS0106</x:v>
      </x:c>
      <x:c r="B107" s="30" t="n">
        <x:v>46164.375</x:v>
      </x:c>
      <x:c r="C107" s="30" t="n">
        <x:v>46164.375</x:v>
      </x:c>
      <x:c r="D107" s="25" t="str">
        <x:v>Norte</x:v>
      </x:c>
      <x:c r="E107" s="35" t="n">
        <x:v>0</x:v>
      </x:c>
      <x:c r="F107" s="35" t="str"/>
      <x:c r="G107" s="35" t="n">
        <x:v>0</x:v>
      </x:c>
      <x:c r="H107" s="34" t="b">
        <x:v>1</x:v>
      </x:c>
    </x:row>
    <x:row r="108">
      <x:c r="A108" s="25" t="str">
        <x:v>OS0107</x:v>
      </x:c>
      <x:c r="B108" s="30" t="n">
        <x:v>46165.416666666664</x:v>
      </x:c>
      <x:c r="C108" s="30" t="n">
        <x:v>46165.416666666664</x:v>
      </x:c>
      <x:c r="D108" s="25" t="str">
        <x:v>Sul</x:v>
      </x:c>
      <x:c r="E108" s="35" t="n">
        <x:v>0</x:v>
      </x:c>
      <x:c r="F108" s="35" t="str"/>
      <x:c r="G108" s="35" t="n">
        <x:v>0</x:v>
      </x:c>
      <x:c r="H108" s="34" t="b">
        <x:v>1</x:v>
      </x:c>
    </x:row>
    <x:row r="109">
      <x:c r="A109" s="25" t="str">
        <x:v>OS0108</x:v>
      </x:c>
      <x:c r="B109" s="30" t="n">
        <x:v>46166.458333333336</x:v>
      </x:c>
      <x:c r="C109" s="30" t="n">
        <x:v>46166.458333333336</x:v>
      </x:c>
      <x:c r="D109" s="25" t="str">
        <x:v>Leste</x:v>
      </x:c>
      <x:c r="E109" s="35" t="n">
        <x:v>0</x:v>
      </x:c>
      <x:c r="F109" s="35" t="str"/>
      <x:c r="G109" s="35" t="n">
        <x:v>0</x:v>
      </x:c>
      <x:c r="H109" s="34" t="b">
        <x:v>1</x:v>
      </x:c>
    </x:row>
    <x:row r="110">
      <x:c r="A110" s="25" t="str">
        <x:v>OS0109</x:v>
      </x:c>
      <x:c r="B110" s="30" t="n">
        <x:v>46167.5</x:v>
      </x:c>
      <x:c r="C110" s="30" t="n">
        <x:v>46167.5</x:v>
      </x:c>
      <x:c r="D110" s="25" t="str">
        <x:v>Oeste</x:v>
      </x:c>
      <x:c r="E110" s="35" t="n">
        <x:v>0</x:v>
      </x:c>
      <x:c r="F110" s="35" t="str"/>
      <x:c r="G110" s="35" t="n">
        <x:v>0</x:v>
      </x:c>
      <x:c r="H110" s="34" t="b">
        <x:v>1</x:v>
      </x:c>
    </x:row>
    <x:row r="111">
      <x:c r="A111" s="25" t="str">
        <x:v>OS0110</x:v>
      </x:c>
      <x:c r="B111" s="30" t="n">
        <x:v>46168.541666666664</x:v>
      </x:c>
      <x:c r="C111" s="30" t="n">
        <x:v>46168.541666666664</x:v>
      </x:c>
      <x:c r="D111" s="25" t="str">
        <x:v>Centro</x:v>
      </x:c>
      <x:c r="E111" s="35" t="n">
        <x:v>0</x:v>
      </x:c>
      <x:c r="F111" s="35" t="str"/>
      <x:c r="G111" s="35" t="n">
        <x:v>0</x:v>
      </x:c>
      <x:c r="H111" s="34" t="b">
        <x:v>1</x:v>
      </x:c>
    </x:row>
    <x:row r="112">
      <x:c r="A112" s="25" t="str">
        <x:v>OS0111</x:v>
      </x:c>
      <x:c r="B112" s="30" t="n">
        <x:v>46169.583333333336</x:v>
      </x:c>
      <x:c r="C112" s="30" t="n">
        <x:v>46169.583333333336</x:v>
      </x:c>
      <x:c r="D112" s="25" t="str">
        <x:v>Norte</x:v>
      </x:c>
      <x:c r="E112" s="35" t="n">
        <x:v>0</x:v>
      </x:c>
      <x:c r="F112" s="35" t="str"/>
      <x:c r="G112" s="35" t="n">
        <x:v>0</x:v>
      </x:c>
      <x:c r="H112" s="34" t="b">
        <x:v>1</x:v>
      </x:c>
    </x:row>
    <x:row r="113">
      <x:c r="A113" s="25" t="str">
        <x:v>OS0112</x:v>
      </x:c>
      <x:c r="B113" s="30" t="n">
        <x:v>46170.625</x:v>
      </x:c>
      <x:c r="C113" s="30" t="n">
        <x:v>46170.625</x:v>
      </x:c>
      <x:c r="D113" s="25" t="str">
        <x:v>Sul</x:v>
      </x:c>
      <x:c r="E113" s="35" t="n">
        <x:v>0</x:v>
      </x:c>
      <x:c r="F113" s="35" t="str"/>
      <x:c r="G113" s="35" t="n">
        <x:v>0</x:v>
      </x:c>
      <x:c r="H113" s="34" t="b">
        <x:v>1</x:v>
      </x:c>
    </x:row>
    <x:row r="114">
      <x:c r="A114" s="25" t="str">
        <x:v>OS0113</x:v>
      </x:c>
      <x:c r="B114" s="30" t="n">
        <x:v>46143.333333333336</x:v>
      </x:c>
      <x:c r="C114" s="30" t="n">
        <x:v>46143.333333333336</x:v>
      </x:c>
      <x:c r="D114" s="25" t="str">
        <x:v>Leste</x:v>
      </x:c>
      <x:c r="E114" s="35" t="n">
        <x:v>0</x:v>
      </x:c>
      <x:c r="F114" s="35" t="str"/>
      <x:c r="G114" s="35" t="n">
        <x:v>0</x:v>
      </x:c>
      <x:c r="H114" s="34" t="b">
        <x:v>1</x:v>
      </x:c>
    </x:row>
    <x:row r="115">
      <x:c r="A115" s="25" t="str">
        <x:v>OS0114</x:v>
      </x:c>
      <x:c r="B115" s="30" t="n">
        <x:v>46144.375</x:v>
      </x:c>
      <x:c r="C115" s="30" t="n">
        <x:v>46144.375</x:v>
      </x:c>
      <x:c r="D115" s="25" t="str">
        <x:v>Oeste</x:v>
      </x:c>
      <x:c r="E115" s="35" t="n">
        <x:v>0</x:v>
      </x:c>
      <x:c r="F115" s="35" t="str"/>
      <x:c r="G115" s="35" t="n">
        <x:v>0</x:v>
      </x:c>
      <x:c r="H115" s="34" t="b">
        <x:v>1</x:v>
      </x:c>
    </x:row>
    <x:row r="116">
      <x:c r="A116" s="25" t="str">
        <x:v>OS0115</x:v>
      </x:c>
      <x:c r="B116" s="30" t="n">
        <x:v>46145.416666666664</x:v>
      </x:c>
      <x:c r="C116" s="30" t="n">
        <x:v>46145.416666666664</x:v>
      </x:c>
      <x:c r="D116" s="25" t="str">
        <x:v>Centro</x:v>
      </x:c>
      <x:c r="E116" s="35" t="n">
        <x:v>0</x:v>
      </x:c>
      <x:c r="F116" s="35" t="str"/>
      <x:c r="G116" s="35" t="n">
        <x:v>0</x:v>
      </x:c>
      <x:c r="H116" s="34" t="b">
        <x:v>1</x:v>
      </x:c>
    </x:row>
    <x:row r="117">
      <x:c r="A117" s="25" t="str">
        <x:v>OS0116</x:v>
      </x:c>
      <x:c r="B117" s="30" t="n">
        <x:v>46146.458333333336</x:v>
      </x:c>
      <x:c r="C117" s="30" t="n">
        <x:v>46146.458333333336</x:v>
      </x:c>
      <x:c r="D117" s="25" t="str">
        <x:v>Norte</x:v>
      </x:c>
      <x:c r="E117" s="35" t="n">
        <x:v>0</x:v>
      </x:c>
      <x:c r="F117" s="35" t="str"/>
      <x:c r="G117" s="35" t="n">
        <x:v>0</x:v>
      </x:c>
      <x:c r="H117" s="34" t="b">
        <x:v>1</x:v>
      </x:c>
    </x:row>
    <x:row r="118">
      <x:c r="A118" s="25" t="str">
        <x:v>OS0117</x:v>
      </x:c>
      <x:c r="B118" s="30" t="n">
        <x:v>46147.5</x:v>
      </x:c>
      <x:c r="C118" s="30" t="n">
        <x:v>46147.5</x:v>
      </x:c>
      <x:c r="D118" s="25" t="str">
        <x:v>Sul</x:v>
      </x:c>
      <x:c r="E118" s="35" t="n">
        <x:v>0</x:v>
      </x:c>
      <x:c r="F118" s="35" t="str"/>
      <x:c r="G118" s="35" t="n">
        <x:v>0</x:v>
      </x:c>
      <x:c r="H118" s="34" t="b">
        <x:v>1</x:v>
      </x:c>
    </x:row>
    <x:row r="119">
      <x:c r="A119" s="25" t="str">
        <x:v>OS0118</x:v>
      </x:c>
      <x:c r="B119" s="30" t="n">
        <x:v>46148.541666666664</x:v>
      </x:c>
      <x:c r="C119" s="30" t="n">
        <x:v>46148.541666666664</x:v>
      </x:c>
      <x:c r="D119" s="25" t="str">
        <x:v>Leste</x:v>
      </x:c>
      <x:c r="E119" s="35" t="n">
        <x:v>0</x:v>
      </x:c>
      <x:c r="F119" s="35" t="str"/>
      <x:c r="G119" s="35" t="n">
        <x:v>0</x:v>
      </x:c>
      <x:c r="H119" s="34" t="b">
        <x:v>1</x:v>
      </x:c>
    </x:row>
    <x:row r="120">
      <x:c r="A120" s="25" t="str">
        <x:v>OS0119</x:v>
      </x:c>
      <x:c r="B120" s="30" t="n">
        <x:v>46149.583333333336</x:v>
      </x:c>
      <x:c r="C120" s="30" t="n">
        <x:v>46149.583333333336</x:v>
      </x:c>
      <x:c r="D120" s="25" t="str">
        <x:v>Oeste</x:v>
      </x:c>
      <x:c r="E120" s="35" t="n">
        <x:v>0</x:v>
      </x:c>
      <x:c r="F120" s="35" t="str"/>
      <x:c r="G120" s="35" t="n">
        <x:v>0</x:v>
      </x:c>
      <x:c r="H120" s="34" t="b">
        <x:v>1</x:v>
      </x:c>
    </x:row>
    <x:row r="121">
      <x:c r="A121" s="25" t="str">
        <x:v>OS0120</x:v>
      </x:c>
      <x:c r="B121" s="30" t="n">
        <x:v>46150.625</x:v>
      </x:c>
      <x:c r="C121" s="30" t="n">
        <x:v>46150.625</x:v>
      </x:c>
      <x:c r="D121" s="25" t="str">
        <x:v>Centro</x:v>
      </x:c>
      <x:c r="E121" s="35" t="n">
        <x:v>0</x:v>
      </x:c>
      <x:c r="F121" s="35" t="str"/>
      <x:c r="G121" s="35" t="n">
        <x:v>0</x:v>
      </x:c>
      <x:c r="H121" s="34" t="b">
        <x:v>1</x:v>
      </x:c>
    </x:row>
    <x:row r="122">
      <x:c r="A122" s="25" t="str">
        <x:v>OS0121</x:v>
      </x:c>
      <x:c r="B122" s="30" t="n">
        <x:v>46151.333333333336</x:v>
      </x:c>
      <x:c r="C122" s="30" t="n">
        <x:v>46151.333333333336</x:v>
      </x:c>
      <x:c r="D122" s="25" t="str">
        <x:v>Norte</x:v>
      </x:c>
      <x:c r="E122" s="35" t="n">
        <x:v>0</x:v>
      </x:c>
      <x:c r="F122" s="35" t="str"/>
      <x:c r="G122" s="35" t="n">
        <x:v>0</x:v>
      </x:c>
      <x:c r="H122" s="34" t="b">
        <x:v>1</x:v>
      </x:c>
    </x:row>
    <x:row r="123">
      <x:c r="A123" s="25" t="str">
        <x:v>OS0122</x:v>
      </x:c>
      <x:c r="B123" s="30" t="n">
        <x:v>46152.375</x:v>
      </x:c>
      <x:c r="C123" s="30" t="n">
        <x:v>46152.375</x:v>
      </x:c>
      <x:c r="D123" s="25" t="str">
        <x:v>Sul</x:v>
      </x:c>
      <x:c r="E123" s="35" t="n">
        <x:v>0</x:v>
      </x:c>
      <x:c r="F123" s="35" t="str"/>
      <x:c r="G123" s="35" t="n">
        <x:v>0</x:v>
      </x:c>
      <x:c r="H123" s="34" t="b">
        <x:v>1</x:v>
      </x:c>
    </x:row>
    <x:row r="124">
      <x:c r="A124" s="25" t="str">
        <x:v>OS0123</x:v>
      </x:c>
      <x:c r="B124" s="30" t="n">
        <x:v>46153.416666666664</x:v>
      </x:c>
      <x:c r="C124" s="30" t="n">
        <x:v>46153.416666666664</x:v>
      </x:c>
      <x:c r="D124" s="25" t="str">
        <x:v>Leste</x:v>
      </x:c>
      <x:c r="E124" s="35" t="n">
        <x:v>0</x:v>
      </x:c>
      <x:c r="F124" s="35" t="str"/>
      <x:c r="G124" s="35" t="n">
        <x:v>0</x:v>
      </x:c>
      <x:c r="H124" s="34" t="b">
        <x:v>1</x:v>
      </x:c>
    </x:row>
    <x:row r="125">
      <x:c r="A125" s="25" t="str">
        <x:v>OS0124</x:v>
      </x:c>
      <x:c r="B125" s="30" t="n">
        <x:v>46154.458333333336</x:v>
      </x:c>
      <x:c r="C125" s="30" t="n">
        <x:v>46154.458333333336</x:v>
      </x:c>
      <x:c r="D125" s="25" t="str">
        <x:v>Oeste</x:v>
      </x:c>
      <x:c r="E125" s="35" t="n">
        <x:v>0</x:v>
      </x:c>
      <x:c r="F125" s="35" t="str"/>
      <x:c r="G125" s="35" t="n">
        <x:v>0</x:v>
      </x:c>
      <x:c r="H125" s="34" t="b">
        <x:v>1</x:v>
      </x:c>
    </x:row>
    <x:row r="126">
      <x:c r="A126" s="25" t="str">
        <x:v>OS0125</x:v>
      </x:c>
      <x:c r="B126" s="30" t="n">
        <x:v>46155.5</x:v>
      </x:c>
      <x:c r="C126" s="30" t="n">
        <x:v>46155.5</x:v>
      </x:c>
      <x:c r="D126" s="25" t="str">
        <x:v>Centro</x:v>
      </x:c>
      <x:c r="E126" s="35" t="n">
        <x:v>0</x:v>
      </x:c>
      <x:c r="F126" s="35" t="str"/>
      <x:c r="G126" s="35" t="n">
        <x:v>0</x:v>
      </x:c>
      <x:c r="H126" s="34" t="b">
        <x:v>1</x:v>
      </x:c>
    </x:row>
    <x:row r="127">
      <x:c r="A127" s="25" t="str">
        <x:v>OS0126</x:v>
      </x:c>
      <x:c r="B127" s="30" t="n">
        <x:v>46156.541666666664</x:v>
      </x:c>
      <x:c r="C127" s="30" t="n">
        <x:v>46156.541666666664</x:v>
      </x:c>
      <x:c r="D127" s="25" t="str">
        <x:v>Norte</x:v>
      </x:c>
      <x:c r="E127" s="35" t="n">
        <x:v>0</x:v>
      </x:c>
      <x:c r="F127" s="35" t="str"/>
      <x:c r="G127" s="35" t="n">
        <x:v>0</x:v>
      </x:c>
      <x:c r="H127" s="34" t="b">
        <x:v>1</x:v>
      </x:c>
    </x:row>
    <x:row r="128">
      <x:c r="A128" s="25" t="str">
        <x:v>OS0127</x:v>
      </x:c>
      <x:c r="B128" s="30" t="n">
        <x:v>46157.583333333336</x:v>
      </x:c>
      <x:c r="C128" s="30" t="n">
        <x:v>46157.583333333336</x:v>
      </x:c>
      <x:c r="D128" s="25" t="str">
        <x:v>Sul</x:v>
      </x:c>
      <x:c r="E128" s="35" t="n">
        <x:v>0</x:v>
      </x:c>
      <x:c r="F128" s="35" t="str"/>
      <x:c r="G128" s="35" t="n">
        <x:v>0</x:v>
      </x:c>
      <x:c r="H128" s="34" t="b">
        <x:v>1</x:v>
      </x:c>
    </x:row>
    <x:row r="129">
      <x:c r="A129" s="25" t="str">
        <x:v>OS0128</x:v>
      </x:c>
      <x:c r="B129" s="30" t="n">
        <x:v>46158.625</x:v>
      </x:c>
      <x:c r="C129" s="30" t="n">
        <x:v>46158.625</x:v>
      </x:c>
      <x:c r="D129" s="25" t="str">
        <x:v>Leste</x:v>
      </x:c>
      <x:c r="E129" s="35" t="n">
        <x:v>0</x:v>
      </x:c>
      <x:c r="F129" s="35" t="str"/>
      <x:c r="G129" s="35" t="n">
        <x:v>0</x:v>
      </x:c>
      <x:c r="H129" s="34" t="b">
        <x:v>1</x:v>
      </x:c>
    </x:row>
    <x:row r="130">
      <x:c r="A130" s="25" t="str">
        <x:v>OS0129</x:v>
      </x:c>
      <x:c r="B130" s="30" t="n">
        <x:v>46159.333333333336</x:v>
      </x:c>
      <x:c r="C130" s="30" t="n">
        <x:v>46159.333333333336</x:v>
      </x:c>
      <x:c r="D130" s="25" t="str">
        <x:v>Oeste</x:v>
      </x:c>
      <x:c r="E130" s="35" t="n">
        <x:v>0</x:v>
      </x:c>
      <x:c r="F130" s="35" t="str"/>
      <x:c r="G130" s="35" t="n">
        <x:v>0</x:v>
      </x:c>
      <x:c r="H130" s="34" t="b">
        <x:v>1</x:v>
      </x:c>
    </x:row>
    <x:row r="131">
      <x:c r="A131" s="25" t="str">
        <x:v>OS0130</x:v>
      </x:c>
      <x:c r="B131" s="30" t="n">
        <x:v>46160.375</x:v>
      </x:c>
      <x:c r="C131" s="30" t="n">
        <x:v>46160.375</x:v>
      </x:c>
      <x:c r="D131" s="25" t="str">
        <x:v>Centro</x:v>
      </x:c>
      <x:c r="E131" s="35" t="n">
        <x:v>0</x:v>
      </x:c>
      <x:c r="F131" s="35" t="str"/>
      <x:c r="G131" s="35" t="n">
        <x:v>0</x:v>
      </x:c>
      <x:c r="H131" s="34" t="b">
        <x:v>1</x:v>
      </x:c>
    </x:row>
    <x:row r="132">
      <x:c r="A132" s="25" t="str">
        <x:v>OS0131</x:v>
      </x:c>
      <x:c r="B132" s="30" t="n">
        <x:v>46161.416666666664</x:v>
      </x:c>
      <x:c r="C132" s="30" t="n">
        <x:v>46161.416666666664</x:v>
      </x:c>
      <x:c r="D132" s="25" t="str">
        <x:v>Norte</x:v>
      </x:c>
      <x:c r="E132" s="35" t="n">
        <x:v>0</x:v>
      </x:c>
      <x:c r="F132" s="35" t="str"/>
      <x:c r="G132" s="35" t="n">
        <x:v>0</x:v>
      </x:c>
      <x:c r="H132" s="34" t="b">
        <x:v>1</x:v>
      </x:c>
    </x:row>
    <x:row r="133">
      <x:c r="A133" s="25" t="str">
        <x:v>OS0132</x:v>
      </x:c>
      <x:c r="B133" s="30" t="n">
        <x:v>46162.458333333336</x:v>
      </x:c>
      <x:c r="C133" s="30" t="n">
        <x:v>46162.458333333336</x:v>
      </x:c>
      <x:c r="D133" s="25" t="str">
        <x:v>Sul</x:v>
      </x:c>
      <x:c r="E133" s="35" t="n">
        <x:v>0</x:v>
      </x:c>
      <x:c r="F133" s="35" t="str"/>
      <x:c r="G133" s="35" t="n">
        <x:v>0</x:v>
      </x:c>
      <x:c r="H133" s="34" t="b">
        <x:v>1</x:v>
      </x:c>
    </x:row>
    <x:row r="134">
      <x:c r="A134" s="25" t="str">
        <x:v>OS0133</x:v>
      </x:c>
      <x:c r="B134" s="30" t="n">
        <x:v>46163.5</x:v>
      </x:c>
      <x:c r="C134" s="30" t="n">
        <x:v>46163.5</x:v>
      </x:c>
      <x:c r="D134" s="25" t="str">
        <x:v>Leste</x:v>
      </x:c>
      <x:c r="E134" s="35" t="n">
        <x:v>0</x:v>
      </x:c>
      <x:c r="F134" s="35" t="str"/>
      <x:c r="G134" s="35" t="n">
        <x:v>0</x:v>
      </x:c>
      <x:c r="H134" s="34" t="b">
        <x:v>1</x:v>
      </x:c>
    </x:row>
    <x:row r="135">
      <x:c r="A135" s="25" t="str">
        <x:v>OS0134</x:v>
      </x:c>
      <x:c r="B135" s="30" t="n">
        <x:v>46164.541666666664</x:v>
      </x:c>
      <x:c r="C135" s="30" t="n">
        <x:v>46164.541666666664</x:v>
      </x:c>
      <x:c r="D135" s="25" t="str">
        <x:v>Oeste</x:v>
      </x:c>
      <x:c r="E135" s="35" t="n">
        <x:v>0</x:v>
      </x:c>
      <x:c r="F135" s="35" t="str"/>
      <x:c r="G135" s="35" t="n">
        <x:v>0</x:v>
      </x:c>
      <x:c r="H135" s="34" t="b">
        <x:v>1</x:v>
      </x:c>
    </x:row>
    <x:row r="136">
      <x:c r="A136" s="25" t="str">
        <x:v>OS0135</x:v>
      </x:c>
      <x:c r="B136" s="30" t="n">
        <x:v>46165.583333333336</x:v>
      </x:c>
      <x:c r="C136" s="30" t="n">
        <x:v>46165.583333333336</x:v>
      </x:c>
      <x:c r="D136" s="25" t="str">
        <x:v>Centro</x:v>
      </x:c>
      <x:c r="E136" s="35" t="n">
        <x:v>0</x:v>
      </x:c>
      <x:c r="F136" s="35" t="str"/>
      <x:c r="G136" s="35" t="n">
        <x:v>0</x:v>
      </x:c>
      <x:c r="H136" s="34" t="b">
        <x:v>1</x:v>
      </x:c>
    </x:row>
    <x:row r="137">
      <x:c r="A137" s="25" t="str">
        <x:v>OS0136</x:v>
      </x:c>
      <x:c r="B137" s="30" t="n">
        <x:v>46166.625</x:v>
      </x:c>
      <x:c r="C137" s="30" t="n">
        <x:v>46166.625</x:v>
      </x:c>
      <x:c r="D137" s="25" t="str">
        <x:v>Norte</x:v>
      </x:c>
      <x:c r="E137" s="35" t="n">
        <x:v>0</x:v>
      </x:c>
      <x:c r="F137" s="35" t="str"/>
      <x:c r="G137" s="35" t="n">
        <x:v>0</x:v>
      </x:c>
      <x:c r="H137" s="34" t="b">
        <x:v>1</x:v>
      </x:c>
    </x:row>
    <x:row r="138">
      <x:c r="A138" s="25" t="str">
        <x:v>OS0137</x:v>
      </x:c>
      <x:c r="B138" s="30" t="n">
        <x:v>46167.333333333336</x:v>
      </x:c>
      <x:c r="C138" s="30" t="n">
        <x:v>46167.333333333336</x:v>
      </x:c>
      <x:c r="D138" s="25" t="str">
        <x:v>Sul</x:v>
      </x:c>
      <x:c r="E138" s="35" t="n">
        <x:v>0</x:v>
      </x:c>
      <x:c r="F138" s="35" t="str"/>
      <x:c r="G138" s="35" t="n">
        <x:v>0</x:v>
      </x:c>
      <x:c r="H138" s="34" t="b">
        <x:v>1</x:v>
      </x:c>
    </x:row>
    <x:row r="139">
      <x:c r="A139" s="27" t="str">
        <x:v>OS0138</x:v>
      </x:c>
      <x:c r="B139" s="31" t="n">
        <x:v>46168.375</x:v>
      </x:c>
      <x:c r="C139" s="31" t="n">
        <x:v>46168.375</x:v>
      </x:c>
      <x:c r="D139" s="27" t="str">
        <x:v>Leste</x:v>
      </x:c>
      <x:c r="E139" s="37" t="n">
        <x:v>0</x:v>
      </x:c>
      <x:c r="F139" s="37" t="str"/>
      <x:c r="G139" s="37" t="n">
        <x:v>0</x:v>
      </x:c>
      <x:c r="H139" s="3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06a8f15851745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40" hidden="0" customWidth="1"/>
    <x:col min="4" max="4" width="13" hidden="0" customWidth="1"/>
    <x:col min="5" max="5" width="54" hidden="0" customWidth="1"/>
    <x:col min="6" max="6" width="62" hidden="0" customWidth="1"/>
  </x:cols>
  <x:sheetData>
    <x:row r="1" ht="42" customHeight="1">
      <x:c r="A1" s="42" t="str">
        <x:v>Ordens de serviço e agenda — maio de 2026</x:v>
      </x:c>
      <x:c r="B1" s="42"/>
      <x:c r="C1" s="42"/>
      <x:c r="D1" s="42"/>
      <x:c r="E1" s="42"/>
      <x:c r="F1" s="42"/>
    </x:row>
    <x:row r="2" ht="34" customHeight="1">
      <x:c r="A2" s="45" t="str">
        <x:v>Caso sintético Lume. Os indicadores de maio são fórmulas auditáveis sobre ordens e agenda; os 11 meses anteriores são agregados sintéticos fixos para análise temporal.</x:v>
      </x:c>
      <x:c r="B2" s="45"/>
      <x:c r="C2" s="45"/>
      <x:c r="D2" s="45"/>
      <x:c r="E2" s="45"/>
      <x:c r="F2" s="45"/>
    </x:row>
    <x:row r="4" ht="34" customHeight="1">
      <x:c r="A4" s="10" t="str">
        <x:v>Indicador canônico</x:v>
      </x:c>
      <x:c r="B4" s="11" t="str">
        <x:v>Valor recalculado</x:v>
      </x:c>
      <x:c r="C4" s="12" t="str">
        <x:v>Regra</x:v>
      </x:c>
    </x:row>
    <x:row r="5">
      <x:c r="A5" s="23" t="str">
        <x:v>Visitas</x:v>
      </x:c>
      <x:c r="B5" s="58" t="n">
        <x:f>COUNTA('ordens'!A2:A139)</x:f>
        <x:v>138</x:v>
      </x:c>
      <x:c r="C5" s="23" t="str">
        <x:v>Linhas válidas de ordens com visita realizada.</x:v>
      </x:c>
    </x:row>
    <x:row r="6">
      <x:c r="A6" s="25" t="str">
        <x:v>Mudanças de agenda</x:v>
      </x:c>
      <x:c r="B6" s="59" t="n">
        <x:f>SUM('agenda'!E2:E139)</x:f>
        <x:v>23</x:v>
      </x:c>
      <x:c r="C6" s="25" t="str">
        <x:v>houve_mudanca = 1.</x:v>
      </x:c>
    </x:row>
    <x:row r="7">
      <x:c r="A7" s="25" t="str">
        <x:v>Ordens incompletas</x:v>
      </x:c>
      <x:c r="B7" s="59" t="n">
        <x:f>COUNTA('ordens'!A2:A139)-SUM('ordens'!M2:M139)</x:f>
        <x:v>27</x:v>
      </x:c>
      <x:c r="C7" s="25" t="str">
        <x:v>Falta equipamento, sintoma ou confirmação.</x:v>
      </x:c>
    </x:row>
    <x:row r="8">
      <x:c r="A8" s="25" t="str">
        <x:v>Tempo de ajuste (horas)</x:v>
      </x:c>
      <x:c r="B8" s="59" t="n">
        <x:f>SUM('agenda'!G2:G139)/60</x:f>
        <x:v>19</x:v>
      </x:c>
      <x:c r="C8" s="25" t="str">
        <x:v>Soma dos minutos dividida por 60.</x:v>
      </x:c>
    </x:row>
    <x:row r="9">
      <x:c r="A9" s="25" t="str">
        <x:v>Atendimentos concluídos</x:v>
      </x:c>
      <x:c r="B9" s="59" t="n">
        <x:f>SUM('ordens'!L2:L139)</x:f>
        <x:v>121</x:v>
      </x:c>
      <x:c r="C9" s="25" t="str">
        <x:v>Status Concluída.</x:v>
      </x:c>
    </x:row>
    <x:row r="10">
      <x:c r="A10" s="27" t="str">
        <x:v>Concluídos com retorno</x:v>
      </x:c>
      <x:c r="B10" s="60" t="n">
        <x:f>SUM('ordens'!N2:N139)</x:f>
        <x:v>14</x:v>
      </x:c>
      <x:c r="C10" s="27" t="str">
        <x:v>Retorno só pode existir em atendimento concluído.</x:v>
      </x:c>
    </x:row>
    <x:row r="13" ht="34" customHeight="1">
      <x:c r="A13" s="10" t="str">
        <x:v>Aba</x:v>
      </x:c>
      <x:c r="B13" s="11" t="str">
        <x:v>Coluna</x:v>
      </x:c>
      <x:c r="C13" s="11" t="str">
        <x:v>Tipo</x:v>
      </x:c>
      <x:c r="D13" s="11" t="str">
        <x:v>Obrigatória</x:v>
      </x:c>
      <x:c r="E13" s="11" t="str">
        <x:v>Definição</x:v>
      </x:c>
      <x:c r="F13" s="12" t="str">
        <x:v>Regra ou domínio</x:v>
      </x:c>
    </x:row>
    <x:row r="14">
      <x:c r="A14" s="23" t="str">
        <x:v>ordens</x:v>
      </x:c>
      <x:c r="B14" s="23" t="str">
        <x:v>ordem_id</x:v>
      </x:c>
      <x:c r="C14" s="23" t="str">
        <x:v>texto</x:v>
      </x:c>
      <x:c r="D14" s="23" t="str">
        <x:v>Sim</x:v>
      </x:c>
      <x:c r="E14" s="38" t="str">
        <x:v>Identificador sintético da ordem.</x:v>
      </x:c>
      <x:c r="F14" s="38" t="str">
        <x:v>Prefixo OS e quatro dígitos.</x:v>
      </x:c>
    </x:row>
    <x:row r="15">
      <x:c r="A15" s="25" t="str">
        <x:v>ordens</x:v>
      </x:c>
      <x:c r="B15" s="25" t="str">
        <x:v>cliente_ref</x:v>
      </x:c>
      <x:c r="C15" s="25" t="str">
        <x:v>texto</x:v>
      </x:c>
      <x:c r="D15" s="25" t="str">
        <x:v>Sim</x:v>
      </x:c>
      <x:c r="E15" s="39" t="str">
        <x:v>Referência sintética do estabelecimento.</x:v>
      </x:c>
      <x:c r="F15" s="39" t="str">
        <x:v>Não é cadastro real.</x:v>
      </x:c>
    </x:row>
    <x:row r="16">
      <x:c r="A16" s="25" t="str">
        <x:v>ordens</x:v>
      </x:c>
      <x:c r="B16" s="25" t="str">
        <x:v>aberta_em</x:v>
      </x:c>
      <x:c r="C16" s="25" t="str">
        <x:v>data/hora UTC</x:v>
      </x:c>
      <x:c r="D16" s="25" t="str">
        <x:v>Sim</x:v>
      </x:c>
      <x:c r="E16" s="39" t="str">
        <x:v>Criação da ordem.</x:v>
      </x:c>
      <x:c r="F16" s="39" t="str">
        <x:v>Anterior à visita planejada.</x:v>
      </x:c>
    </x:row>
    <x:row r="17">
      <x:c r="A17" s="25" t="str">
        <x:v>ordens</x:v>
      </x:c>
      <x:c r="B17" s="25" t="str">
        <x:v>visita_realizada_em</x:v>
      </x:c>
      <x:c r="C17" s="25" t="str">
        <x:v>data/hora UTC</x:v>
      </x:c>
      <x:c r="D17" s="25" t="str">
        <x:v>Sim</x:v>
      </x:c>
      <x:c r="E17" s="39" t="str">
        <x:v>Momento sintético da visita principal.</x:v>
      </x:c>
      <x:c r="F17" s="39" t="str">
        <x:v>Data em maio de 2026.</x:v>
      </x:c>
    </x:row>
    <x:row r="18">
      <x:c r="A18" s="25" t="str">
        <x:v>ordens</x:v>
      </x:c>
      <x:c r="B18" s="25" t="str">
        <x:v>regiao</x:v>
      </x:c>
      <x:c r="C18" s="25" t="str">
        <x:v>categoria</x:v>
      </x:c>
      <x:c r="D18" s="25" t="str">
        <x:v>Sim</x:v>
      </x:c>
      <x:c r="E18" s="39" t="str">
        <x:v>Região ampla sem endereço.</x:v>
      </x:c>
      <x:c r="F18" s="39" t="str">
        <x:v>Norte, Sul, Leste, Oeste ou Centro.</x:v>
      </x:c>
    </x:row>
    <x:row r="19">
      <x:c r="A19" s="25" t="str">
        <x:v>ordens</x:v>
      </x:c>
      <x:c r="B19" s="25" t="str">
        <x:v>tipo_servico</x:v>
      </x:c>
      <x:c r="C19" s="25" t="str">
        <x:v>categoria</x:v>
      </x:c>
      <x:c r="D19" s="25" t="str">
        <x:v>Sim</x:v>
      </x:c>
      <x:c r="E19" s="39" t="str">
        <x:v>Família do serviço.</x:v>
      </x:c>
      <x:c r="F19" s="39" t="str">
        <x:v>Domínio sintético do briefing.</x:v>
      </x:c>
    </x:row>
    <x:row r="20">
      <x:c r="A20" s="25" t="str">
        <x:v>ordens</x:v>
      </x:c>
      <x:c r="B20" s="25" t="str">
        <x:v>equipamento_ref</x:v>
      </x:c>
      <x:c r="C20" s="25" t="str">
        <x:v>texto</x:v>
      </x:c>
      <x:c r="D20" s="25" t="str">
        <x:v>Não</x:v>
      </x:c>
      <x:c r="E20" s="39" t="str">
        <x:v>Referência sintética do equipamento.</x:v>
      </x:c>
      <x:c r="F20" s="39" t="str">
        <x:v>Vazio conta como ordem incompleta.</x:v>
      </x:c>
    </x:row>
    <x:row r="21">
      <x:c r="A21" s="25" t="str">
        <x:v>ordens</x:v>
      </x:c>
      <x:c r="B21" s="25" t="str">
        <x:v>descricao_sintoma</x:v>
      </x:c>
      <x:c r="C21" s="25" t="str">
        <x:v>texto</x:v>
      </x:c>
      <x:c r="D21" s="25" t="str">
        <x:v>Não</x:v>
      </x:c>
      <x:c r="E21" s="39" t="str">
        <x:v>Descrição curta do sintoma.</x:v>
      </x:c>
      <x:c r="F21" s="39" t="str">
        <x:v>Vazio conta como ordem incompleta.</x:v>
      </x:c>
    </x:row>
    <x:row r="22">
      <x:c r="A22" s="25" t="str">
        <x:v>ordens</x:v>
      </x:c>
      <x:c r="B22" s="25" t="str">
        <x:v>contato_confirmado</x:v>
      </x:c>
      <x:c r="C22" s="25" t="str">
        <x:v>booleano</x:v>
      </x:c>
      <x:c r="D22" s="25" t="str">
        <x:v>Sim</x:v>
      </x:c>
      <x:c r="E22" s="39" t="str">
        <x:v>Confirma contato operacional antes da visita.</x:v>
      </x:c>
      <x:c r="F22" s="39" t="str">
        <x:v>Falso conta como ordem incompleta.</x:v>
      </x:c>
    </x:row>
    <x:row r="23">
      <x:c r="A23" s="25" t="str">
        <x:v>ordens</x:v>
      </x:c>
      <x:c r="B23" s="25" t="str">
        <x:v>status</x:v>
      </x:c>
      <x:c r="C23" s="25" t="str">
        <x:v>categoria</x:v>
      </x:c>
      <x:c r="D23" s="25" t="str">
        <x:v>Sim</x:v>
      </x:c>
      <x:c r="E23" s="39" t="str">
        <x:v>Situação do atendimento no corte.</x:v>
      </x:c>
      <x:c r="F23" s="39" t="str">
        <x:v>Concluída, Aguardando peça ou Em acompanhamento.</x:v>
      </x:c>
    </x:row>
    <x:row r="24">
      <x:c r="A24" s="25" t="str">
        <x:v>ordens</x:v>
      </x:c>
      <x:c r="B24" s="25" t="str">
        <x:v>visita_realizada</x:v>
      </x:c>
      <x:c r="C24" s="25" t="str">
        <x:v>binário</x:v>
      </x:c>
      <x:c r="D24" s="25" t="str">
        <x:v>Sim</x:v>
      </x:c>
      <x:c r="E24" s="39" t="str">
        <x:v>Confirma a visita principal no recorte.</x:v>
      </x:c>
      <x:c r="F24" s="39" t="str">
        <x:v>1 nas 138 ordens do arquivo.</x:v>
      </x:c>
    </x:row>
    <x:row r="25">
      <x:c r="A25" s="25" t="str">
        <x:v>ordens</x:v>
      </x:c>
      <x:c r="B25" s="25" t="str">
        <x:v>atendimento_concluido</x:v>
      </x:c>
      <x:c r="C25" s="25" t="str">
        <x:v>binário/fórmula</x:v>
      </x:c>
      <x:c r="D25" s="25" t="str">
        <x:v>Sim</x:v>
      </x:c>
      <x:c r="E25" s="39" t="str">
        <x:v>Sinal derivado de conclusão do atendimento.</x:v>
      </x:c>
      <x:c r="F25" s="39" t="str">
        <x:v>1 quando status = Concluída.</x:v>
      </x:c>
    </x:row>
    <x:row r="26">
      <x:c r="A26" s="25" t="str">
        <x:v>ordens</x:v>
      </x:c>
      <x:c r="B26" s="25" t="str">
        <x:v>ordem_completa</x:v>
      </x:c>
      <x:c r="C26" s="25" t="str">
        <x:v>binário/fórmula</x:v>
      </x:c>
      <x:c r="D26" s="25" t="str">
        <x:v>Sim</x:v>
      </x:c>
      <x:c r="E26" s="39" t="str">
        <x:v>Presença do contexto mínimo.</x:v>
      </x:c>
      <x:c r="F26" s="39" t="str">
        <x:v>1 quando equipamento, sintoma e contato estão presentes.</x:v>
      </x:c>
    </x:row>
    <x:row r="27">
      <x:c r="A27" s="25" t="str">
        <x:v>ordens</x:v>
      </x:c>
      <x:c r="B27" s="25" t="str">
        <x:v>retorno_necessario</x:v>
      </x:c>
      <x:c r="C27" s="25" t="str">
        <x:v>binário</x:v>
      </x:c>
      <x:c r="D27" s="25" t="str">
        <x:v>Sim</x:v>
      </x:c>
      <x:c r="E27" s="39" t="str">
        <x:v>Registro de visita de retorno.</x:v>
      </x:c>
      <x:c r="F27" s="39" t="str">
        <x:v>1 somente quando atendimento_concluido = 1.</x:v>
      </x:c>
    </x:row>
    <x:row r="28">
      <x:c r="A28" s="25" t="str">
        <x:v>ordens</x:v>
      </x:c>
      <x:c r="B28" s="25" t="str">
        <x:v>motivo_retorno_sintetico</x:v>
      </x:c>
      <x:c r="C28" s="25" t="str">
        <x:v>texto</x:v>
      </x:c>
      <x:c r="D28" s="25" t="str">
        <x:v>Não</x:v>
      </x:c>
      <x:c r="E28" s="39" t="str">
        <x:v>Motivo educacional resumido.</x:v>
      </x:c>
      <x:c r="F28" s="39" t="str">
        <x:v>Não implica causalidade automática.</x:v>
      </x:c>
    </x:row>
    <x:row r="29">
      <x:c r="A29" s="25" t="str">
        <x:v>ordens</x:v>
      </x:c>
      <x:c r="B29" s="25" t="str">
        <x:v>tecnico_ref</x:v>
      </x:c>
      <x:c r="C29" s="25" t="str">
        <x:v>texto</x:v>
      </x:c>
      <x:c r="D29" s="25" t="str">
        <x:v>Sim</x:v>
      </x:c>
      <x:c r="E29" s="39" t="str">
        <x:v>Referência sintética da equipe.</x:v>
      </x:c>
      <x:c r="F29" s="39" t="str">
        <x:v>Não é nome de pessoa nem mede desempenho.</x:v>
      </x:c>
    </x:row>
    <x:row r="30">
      <x:c r="A30" s="25" t="str">
        <x:v>agenda</x:v>
      </x:c>
      <x:c r="B30" s="25" t="str">
        <x:v>ordem_id</x:v>
      </x:c>
      <x:c r="C30" s="25" t="str">
        <x:v>texto</x:v>
      </x:c>
      <x:c r="D30" s="25" t="str">
        <x:v>Sim</x:v>
      </x:c>
      <x:c r="E30" s="39" t="str">
        <x:v>Ordem relacionada.</x:v>
      </x:c>
      <x:c r="F30" s="39" t="str">
        <x:v>Referencia ordem_id.</x:v>
      </x:c>
    </x:row>
    <x:row r="31">
      <x:c r="A31" s="25" t="str">
        <x:v>agenda</x:v>
      </x:c>
      <x:c r="B31" s="25" t="str">
        <x:v>data_original</x:v>
      </x:c>
      <x:c r="C31" s="25" t="str">
        <x:v>data/hora UTC</x:v>
      </x:c>
      <x:c r="D31" s="25" t="str">
        <x:v>Sim</x:v>
      </x:c>
      <x:c r="E31" s="39" t="str">
        <x:v>Janela inicialmente combinada.</x:v>
      </x:c>
      <x:c r="F31" s="39" t="str">
        <x:v>Data em maio de 2026.</x:v>
      </x:c>
    </x:row>
    <x:row r="32">
      <x:c r="A32" s="25" t="str">
        <x:v>agenda</x:v>
      </x:c>
      <x:c r="B32" s="25" t="str">
        <x:v>data_final</x:v>
      </x:c>
      <x:c r="C32" s="25" t="str">
        <x:v>data/hora UTC</x:v>
      </x:c>
      <x:c r="D32" s="25" t="str">
        <x:v>Sim</x:v>
      </x:c>
      <x:c r="E32" s="39" t="str">
        <x:v>Janela após revisão.</x:v>
      </x:c>
      <x:c r="F32" s="39" t="str">
        <x:v>Igual à original quando não houve mudança.</x:v>
      </x:c>
    </x:row>
    <x:row r="33">
      <x:c r="A33" s="25" t="str">
        <x:v>agenda</x:v>
      </x:c>
      <x:c r="B33" s="25" t="str">
        <x:v>regiao</x:v>
      </x:c>
      <x:c r="C33" s="25" t="str">
        <x:v>categoria</x:v>
      </x:c>
      <x:c r="D33" s="25" t="str">
        <x:v>Sim</x:v>
      </x:c>
      <x:c r="E33" s="39" t="str">
        <x:v>Região ampla da visita.</x:v>
      </x:c>
      <x:c r="F33" s="39" t="str">
        <x:v>Sem endereço ou rota real.</x:v>
      </x:c>
    </x:row>
    <x:row r="34">
      <x:c r="A34" s="25" t="str">
        <x:v>agenda</x:v>
      </x:c>
      <x:c r="B34" s="25" t="str">
        <x:v>houve_mudanca</x:v>
      </x:c>
      <x:c r="C34" s="25" t="str">
        <x:v>binário</x:v>
      </x:c>
      <x:c r="D34" s="25" t="str">
        <x:v>Sim</x:v>
      </x:c>
      <x:c r="E34" s="39" t="str">
        <x:v>Indica alteração de agenda.</x:v>
      </x:c>
      <x:c r="F34" s="39" t="str">
        <x:v>1 em 23 linhas.</x:v>
      </x:c>
    </x:row>
    <x:row r="35">
      <x:c r="A35" s="25" t="str">
        <x:v>agenda</x:v>
      </x:c>
      <x:c r="B35" s="25" t="str">
        <x:v>motivo_mudanca</x:v>
      </x:c>
      <x:c r="C35" s="25" t="str">
        <x:v>texto</x:v>
      </x:c>
      <x:c r="D35" s="25" t="str">
        <x:v>Não</x:v>
      </x:c>
      <x:c r="E35" s="39" t="str">
        <x:v>Categoria sintética da alteração.</x:v>
      </x:c>
      <x:c r="F35" s="39" t="str">
        <x:v>Vazio quando não houve mudança.</x:v>
      </x:c>
    </x:row>
    <x:row r="36">
      <x:c r="A36" s="25" t="str">
        <x:v>agenda</x:v>
      </x:c>
      <x:c r="B36" s="25" t="str">
        <x:v>tempo_ajuste_min</x:v>
      </x:c>
      <x:c r="C36" s="25" t="str">
        <x:v>inteiro</x:v>
      </x:c>
      <x:c r="D36" s="25" t="str">
        <x:v>Sim</x:v>
      </x:c>
      <x:c r="E36" s="39" t="str">
        <x:v>Tempo manual atribuído ao ajuste.</x:v>
      </x:c>
      <x:c r="F36" s="39" t="str">
        <x:v>Zero sem mudança; soma das mudanças = 1.140.</x:v>
      </x:c>
    </x:row>
    <x:row r="37">
      <x:c r="A37" s="27" t="str">
        <x:v>agenda</x:v>
      </x:c>
      <x:c r="B37" s="27" t="str">
        <x:v>aprovado_por_humano</x:v>
      </x:c>
      <x:c r="C37" s="27" t="str">
        <x:v>booleano</x:v>
      </x:c>
      <x:c r="D37" s="27" t="str">
        <x:v>Sim</x:v>
      </x:c>
      <x:c r="E37" s="40" t="str">
        <x:v>Confirma decisão humana da agenda.</x:v>
      </x:c>
      <x:c r="F37" s="40" t="str">
        <x:v>Deve permanecer verdadeiro no kit.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2" customHeight="1">
      <x:c r="A1" s="64" t="str">
        <x:v>periodo</x:v>
      </x:c>
      <x:c r="B1" s="64" t="str">
        <x:v>visitas</x:v>
      </x:c>
      <x:c r="C1" s="64" t="str">
        <x:v>mudancas_agenda</x:v>
      </x:c>
      <x:c r="D1" s="64" t="str">
        <x:v>tempo_ajuste_min</x:v>
      </x:c>
      <x:c r="E1" s="64" t="str">
        <x:v>ordens_incompletas</x:v>
      </x:c>
      <x:c r="F1" s="64" t="str">
        <x:v>atendimentos_concluidos</x:v>
      </x:c>
      <x:c r="G1" s="64" t="str">
        <x:v>retornos</x:v>
      </x:c>
    </x:row>
    <x:row r="2" ht="22" customHeight="1">
      <x:c r="A2" s="68" t="str">
        <x:v>2025-06</x:v>
      </x:c>
      <x:c r="B2" s="68" t="n">
        <x:v>118</x:v>
      </x:c>
      <x:c r="C2" s="68" t="n">
        <x:v>21</x:v>
      </x:c>
      <x:c r="D2" s="68" t="n">
        <x:v>960</x:v>
      </x:c>
      <x:c r="E2" s="68" t="n">
        <x:v>31</x:v>
      </x:c>
      <x:c r="F2" s="68" t="n">
        <x:v>101</x:v>
      </x:c>
      <x:c r="G2" s="68" t="n">
        <x:v>13</x:v>
      </x:c>
    </x:row>
    <x:row r="3" ht="22" customHeight="1">
      <x:c r="A3" s="68" t="str">
        <x:v>2025-07</x:v>
      </x:c>
      <x:c r="B3" s="68" t="n">
        <x:v>121</x:v>
      </x:c>
      <x:c r="C3" s="68" t="n">
        <x:v>19</x:v>
      </x:c>
      <x:c r="D3" s="68" t="n">
        <x:v>875</x:v>
      </x:c>
      <x:c r="E3" s="68" t="n">
        <x:v>29</x:v>
      </x:c>
      <x:c r="F3" s="68" t="n">
        <x:v>105</x:v>
      </x:c>
      <x:c r="G3" s="68" t="n">
        <x:v>12</x:v>
      </x:c>
    </x:row>
    <x:row r="4" ht="22" customHeight="1">
      <x:c r="A4" s="68" t="str">
        <x:v>2025-08</x:v>
      </x:c>
      <x:c r="B4" s="68" t="n">
        <x:v>116</x:v>
      </x:c>
      <x:c r="C4" s="68" t="n">
        <x:v>24</x:v>
      </x:c>
      <x:c r="D4" s="68" t="n">
        <x:v>1120</x:v>
      </x:c>
      <x:c r="E4" s="68" t="n">
        <x:v>34</x:v>
      </x:c>
      <x:c r="F4" s="68" t="n">
        <x:v>96</x:v>
      </x:c>
      <x:c r="G4" s="68" t="n">
        <x:v>15</x:v>
      </x:c>
    </x:row>
    <x:row r="5" ht="22" customHeight="1">
      <x:c r="A5" s="68" t="str">
        <x:v>2025-09</x:v>
      </x:c>
      <x:c r="B5" s="68" t="n">
        <x:v>125</x:v>
      </x:c>
      <x:c r="C5" s="68" t="n">
        <x:v>22</x:v>
      </x:c>
      <x:c r="D5" s="68" t="n">
        <x:v>1015</x:v>
      </x:c>
      <x:c r="E5" s="68" t="n">
        <x:v>30</x:v>
      </x:c>
      <x:c r="F5" s="68" t="n">
        <x:v>110</x:v>
      </x:c>
      <x:c r="G5" s="68" t="n">
        <x:v>14</x:v>
      </x:c>
    </x:row>
    <x:row r="6" ht="22" customHeight="1">
      <x:c r="A6" s="68" t="str">
        <x:v>2025-10</x:v>
      </x:c>
      <x:c r="B6" s="68" t="n">
        <x:v>127</x:v>
      </x:c>
      <x:c r="C6" s="68" t="n">
        <x:v>20</x:v>
      </x:c>
      <x:c r="D6" s="68" t="n">
        <x:v>940</x:v>
      </x:c>
      <x:c r="E6" s="68" t="n">
        <x:v>28</x:v>
      </x:c>
      <x:c r="F6" s="68" t="n">
        <x:v>112</x:v>
      </x:c>
      <x:c r="G6" s="68" t="n">
        <x:v>12</x:v>
      </x:c>
    </x:row>
    <x:row r="7" ht="22" customHeight="1">
      <x:c r="A7" s="68" t="str">
        <x:v>2025-11</x:v>
      </x:c>
      <x:c r="B7" s="68" t="n">
        <x:v>130</x:v>
      </x:c>
      <x:c r="C7" s="68" t="n">
        <x:v>23</x:v>
      </x:c>
      <x:c r="D7" s="68" t="n">
        <x:v>1085</x:v>
      </x:c>
      <x:c r="E7" s="68" t="n">
        <x:v>32</x:v>
      </x:c>
      <x:c r="F7" s="68" t="n">
        <x:v>113</x:v>
      </x:c>
      <x:c r="G7" s="68" t="n">
        <x:v>14</x:v>
      </x:c>
    </x:row>
    <x:row r="8" ht="22" customHeight="1">
      <x:c r="A8" s="68" t="str">
        <x:v>2025-12</x:v>
      </x:c>
      <x:c r="B8" s="68" t="n">
        <x:v>124</x:v>
      </x:c>
      <x:c r="C8" s="68" t="n">
        <x:v>25</x:v>
      </x:c>
      <x:c r="D8" s="68" t="n">
        <x:v>1210</x:v>
      </x:c>
      <x:c r="E8" s="68" t="n">
        <x:v>30</x:v>
      </x:c>
      <x:c r="F8" s="68" t="n">
        <x:v>108</x:v>
      </x:c>
      <x:c r="G8" s="68" t="n">
        <x:v>16</x:v>
      </x:c>
    </x:row>
    <x:row r="9" ht="22" customHeight="1">
      <x:c r="A9" s="68" t="str">
        <x:v>2026-01</x:v>
      </x:c>
      <x:c r="B9" s="68" t="n">
        <x:v>132</x:v>
      </x:c>
      <x:c r="C9" s="68" t="n">
        <x:v>22</x:v>
      </x:c>
      <x:c r="D9" s="68" t="n">
        <x:v>1030</x:v>
      </x:c>
      <x:c r="E9" s="68" t="n">
        <x:v>29</x:v>
      </x:c>
      <x:c r="F9" s="68" t="n">
        <x:v>116</x:v>
      </x:c>
      <x:c r="G9" s="68" t="n">
        <x:v>13</x:v>
      </x:c>
    </x:row>
    <x:row r="10" ht="22" customHeight="1">
      <x:c r="A10" s="68" t="str">
        <x:v>2026-02</x:v>
      </x:c>
      <x:c r="B10" s="68" t="n">
        <x:v>129</x:v>
      </x:c>
      <x:c r="C10" s="68" t="n">
        <x:v>24</x:v>
      </x:c>
      <x:c r="D10" s="68" t="n">
        <x:v>1160</x:v>
      </x:c>
      <x:c r="E10" s="68" t="n">
        <x:v>31</x:v>
      </x:c>
      <x:c r="F10" s="68" t="n">
        <x:v>113</x:v>
      </x:c>
      <x:c r="G10" s="68" t="n">
        <x:v>15</x:v>
      </x:c>
    </x:row>
    <x:row r="11" ht="22" customHeight="1">
      <x:c r="A11" s="68" t="str">
        <x:v>2026-03</x:v>
      </x:c>
      <x:c r="B11" s="68" t="n">
        <x:v>134</x:v>
      </x:c>
      <x:c r="C11" s="68" t="n">
        <x:v>21</x:v>
      </x:c>
      <x:c r="D11" s="68" t="n">
        <x:v>995</x:v>
      </x:c>
      <x:c r="E11" s="68" t="n">
        <x:v>28</x:v>
      </x:c>
      <x:c r="F11" s="68" t="n">
        <x:v>118</x:v>
      </x:c>
      <x:c r="G11" s="68" t="n">
        <x:v>13</x:v>
      </x:c>
    </x:row>
    <x:row r="12" ht="22" customHeight="1">
      <x:c r="A12" s="68" t="str">
        <x:v>2026-04</x:v>
      </x:c>
      <x:c r="B12" s="68" t="n">
        <x:v>136</x:v>
      </x:c>
      <x:c r="C12" s="68" t="n">
        <x:v>22</x:v>
      </x:c>
      <x:c r="D12" s="68" t="n">
        <x:v>1060</x:v>
      </x:c>
      <x:c r="E12" s="68" t="n">
        <x:v>26</x:v>
      </x:c>
      <x:c r="F12" s="68" t="n">
        <x:v>120</x:v>
      </x:c>
      <x:c r="G12" s="68" t="n">
        <x:v>14</x:v>
      </x:c>
    </x:row>
    <x:row r="13" ht="22" customHeight="1">
      <x:c r="A13" s="68" t="str">
        <x:v>2026-05</x:v>
      </x:c>
      <x:c r="B13" s="68" t="n">
        <x:v>138</x:v>
      </x:c>
      <x:c r="C13" s="68" t="n">
        <x:v>23</x:v>
      </x:c>
      <x:c r="D13" s="68" t="n">
        <x:v>1140</x:v>
      </x:c>
      <x:c r="E13" s="68" t="n">
        <x:v>27</x:v>
      </x:c>
      <x:c r="F13" s="68" t="n">
        <x:v>121</x:v>
      </x:c>
      <x:c r="G13" s="68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757ec89fee3b43b3"/>
  </x:tableParts>
</x:worksheet>
</file>