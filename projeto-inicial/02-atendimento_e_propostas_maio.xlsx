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33347107d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tos" sheetId="1" r:id="Rd8f661cc419d4b87"/>
    <x:sheet xmlns:r="http://schemas.openxmlformats.org/officeDocument/2006/relationships" name="propostas" sheetId="2" r:id="Rbaeb20e4cc6448b1"/>
    <x:sheet xmlns:r="http://schemas.openxmlformats.org/officeDocument/2006/relationships" name="dicionario" sheetId="3" r:id="Rb7e3edaf4d2a40af"/>
    <x:sheet xmlns:r="http://schemas.openxmlformats.org/officeDocument/2006/relationships" name="historico_mensal" sheetId="4" r:id="Re2b96fb36cb4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"/>
    <x:numFmt numFmtId="202" formatCode="0"/>
    <x:numFmt numFmtId="203" formatCode="0.0"/>
  </x:numFmts>
  <x:fonts count="8">
    <x:font>
      <x:sz val="11"/>
      <x:name val="Carlito"/>
    </x:font>
    <x:font>
      <x:b/>
      <x:sz val="11"/>
      <x:color rgb="FFFFF9EC"/>
      <x:name val="Figtree"/>
    </x:font>
    <x:font>
      <x:sz val="10"/>
      <x:color rgb="FF20211E"/>
      <x:name val="Figtree"/>
    </x:font>
    <x:font>
      <x:b/>
      <x:sz val="18"/>
      <x:color rgb="FFFFF9EC"/>
      <x:name val="Figtree"/>
    </x:font>
    <x:font>
      <x:sz val="10"/>
      <x:color rgb="FFC8C0B0"/>
      <x:name val="Figtree"/>
    </x:font>
    <x:font>
      <x:b/>
      <x:sz val="12"/>
      <x:color rgb="FF9A5532"/>
      <x:name val="Figtree"/>
    </x:font>
    <x:font>
      <x:b/>
      <x:sz val="11"/>
      <x:color rgb="FFFFFDF7"/>
      <x:name val="Carlito"/>
    </x:font>
    <x:font>
      <x:sz val="11"/>
      <x:color rgb="FF2E2C2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1815"/>
      </x:patternFill>
    </x:fill>
    <x:fill>
      <x:patternFill patternType="solid">
        <x:fgColor rgb="FFFFF9EC"/>
      </x:patternFill>
    </x:fill>
    <x:fill>
      <x:patternFill patternType="solid">
        <x:fgColor rgb="FF22231F"/>
      </x:patternFill>
    </x:fill>
    <x:fill>
      <x:patternFill patternType="solid">
        <x:fgColor rgb="FFF1EBDD"/>
      </x:patternFill>
    </x:fill>
    <x:fill>
      <x:patternFill patternType="solid">
        <x:fgColor rgb="FF171916"/>
      </x:patternFill>
    </x:fill>
    <x:fill>
      <x:patternFill patternType="solid">
        <x:fgColor rgb="FFFFF9EA"/>
      </x:patternFill>
    </x:fill>
  </x:fills>
  <x:borders count="12">
    <x:border/>
    <x:border>
      <x:right style="thin">
        <x:color rgb="FF22231F"/>
      </x:right>
    </x:border>
    <x:border>
      <x:left style="thin">
        <x:color rgb="FF22231F"/>
      </x:left>
      <x:right style="thin">
        <x:color rgb="FF22231F"/>
      </x:right>
    </x:border>
    <x:border>
      <x:left style="thin">
        <x:color rgb="FF22231F"/>
      </x:left>
    </x:border>
    <x:border>
      <x:bottom style="thin">
        <x:color rgb="FFDED6C6"/>
      </x:bottom>
    </x:border>
    <x:border>
      <x:top style="thin">
        <x:color rgb="FFDED6C6"/>
      </x:top>
      <x:bottom style="thin">
        <x:color rgb="FFDED6C6"/>
      </x:bottom>
    </x:border>
    <x:border>
      <x:top style="thin">
        <x:color rgb="FFDED6C6"/>
      </x:top>
      <x:bottom style="thin">
        <x:color rgb="FFC8C0B0"/>
      </x:bottom>
    </x:border>
    <x:border>
      <x:bottom style="thin">
        <x:color rgb="FFC8C0B0"/>
      </x:bottom>
    </x:border>
    <x:border>
      <x:top style="thin">
        <x:color rgb="FFC8C0B0"/>
      </x:top>
      <x:bottom style="thin">
        <x:color rgb="FFC8C0B0"/>
      </x:bottom>
    </x:border>
    <x:border>
      <x:top style="thin">
        <x:color rgb="FFC8C0B0"/>
      </x:top>
      <x:bottom style="thin">
        <x:color rgb="FFDED6C6"/>
      </x:bottom>
    </x:border>
    <x:border>
      <x:left style="thin">
        <x:color rgb="FF171916"/>
      </x:left>
      <x:right style="thin">
        <x:color rgb="FF171916"/>
      </x:right>
      <x:top style="thin">
        <x:color rgb="FF171916"/>
      </x:top>
      <x:bottom style="thin">
        <x:color rgb="FF171916"/>
      </x:bottom>
    </x:border>
    <x:border>
      <x:left style="thin">
        <x:color rgb="FFE7DEC7"/>
      </x:left>
      <x:right style="thin">
        <x:color rgb="FFE7DEC7"/>
      </x:right>
      <x:top style="thin">
        <x:color rgb="FFE7DEC7"/>
      </x:top>
      <x:bottom style="thin">
        <x:color rgb="FFE7DEC7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3" borderId="4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3" borderId="5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3" borderId="6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3" borderId="4" xfId="0" applyNumberFormat="1" applyFont="1" applyFill="1" applyBorder="1" applyAlignment="1">
      <x:alignment horizontal="center" vertical="center"/>
    </x:xf>
    <x:xf numFmtId="201" fontId="2" fillId="3" borderId="5" xfId="0" applyNumberFormat="1" applyFont="1" applyFill="1" applyBorder="1" applyAlignment="1">
      <x:alignment horizontal="center" vertical="center"/>
    </x:xf>
    <x:xf numFmtId="201" fontId="2" fillId="3" borderId="6" xfId="0" applyNumberFormat="1" applyFont="1" applyFill="1" applyBorder="1" applyAlignment="1">
      <x:alignment horizontal="center" vertical="center"/>
    </x:xf>
    <x:xf numFmtId="202" fontId="2" fillId="3" borderId="4" xfId="0" applyNumberFormat="1" applyFont="1" applyFill="1" applyBorder="1" applyAlignment="1">
      <x:alignment horizontal="center" vertical="center"/>
    </x:xf>
    <x:xf numFmtId="202" fontId="2" fillId="3" borderId="5" xfId="0" applyNumberFormat="1" applyFont="1" applyFill="1" applyBorder="1" applyAlignment="1">
      <x:alignment horizontal="center" vertical="center"/>
    </x:xf>
    <x:xf numFmtId="202" fontId="2" fillId="3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vertical="center"/>
    </x:xf>
    <x:xf numFmtId="0" fontId="2" fillId="5" borderId="5" xfId="0" applyNumberFormat="1" applyFont="1" applyFill="1" applyBorder="1" applyAlignment="1">
      <x:alignment vertical="center"/>
    </x:xf>
    <x:xf numFmtId="0" fontId="2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horizontal="right" vertical="center"/>
    </x:xf>
    <x:xf numFmtId="0" fontId="5" fillId="5" borderId="8" xfId="0" applyNumberFormat="1" applyFont="1" applyFill="1" applyBorder="1" applyAlignment="1">
      <x:alignment horizontal="right" vertical="center"/>
    </x:xf>
    <x:xf numFmtId="0" fontId="5" fillId="5" borderId="9" xfId="0" applyNumberFormat="1" applyFont="1" applyFill="1" applyBorder="1" applyAlignment="1">
      <x:alignment horizontal="right" vertical="center"/>
    </x:xf>
    <x:xf numFmtId="201" fontId="5" fillId="5" borderId="7" xfId="0" applyNumberFormat="1" applyFont="1" applyFill="1" applyBorder="1" applyAlignment="1">
      <x:alignment horizontal="right" vertical="center"/>
    </x:xf>
    <x:xf numFmtId="201" fontId="5" fillId="5" borderId="8" xfId="0" applyNumberFormat="1" applyFont="1" applyFill="1" applyBorder="1" applyAlignment="1">
      <x:alignment horizontal="right" vertical="center"/>
    </x:xf>
    <x:xf numFmtId="203" fontId="5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1" xfId="0" applyNumberFormat="1" applyFont="1" applyFill="1" applyBorder="1"/>
    <x:xf numFmtId="0" fontId="7" fillId="7" borderId="11" xfId="0" applyNumberFormat="1" applyFont="1" applyFill="1" applyBorder="1" applyAlignment="1">
      <x:alignment wrapText="1"/>
    </x:xf>
    <x:xf numFmtId="203" fontId="7" fillId="7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51f49aa234507" /><Relationship Type="http://schemas.openxmlformats.org/officeDocument/2006/relationships/theme" Target="/xl/theme/theme1.xml" Id="Rb154294625334f82" /><Relationship Type="http://schemas.microsoft.com/office/2022/11/relationships/FeaturePropertyBag" Target="/xl/featurePropertyBag/featurePropertyBag.xml" Id="R6bb41c905e014d30" /><Relationship Type="http://schemas.openxmlformats.org/officeDocument/2006/relationships/sharedStrings" Target="/xl/sharedStrings.xml" Id="R49d7bce0e1e34bd9" /><Relationship Type="http://schemas.openxmlformats.org/officeDocument/2006/relationships/worksheet" Target="/xl/worksheets/sheet1.xml" Id="Rd8f661cc419d4b87" /><Relationship Type="http://schemas.openxmlformats.org/officeDocument/2006/relationships/worksheet" Target="/xl/worksheets/sheet2.xml" Id="Rbaeb20e4cc6448b1" /><Relationship Type="http://schemas.openxmlformats.org/officeDocument/2006/relationships/worksheet" Target="/xl/worksheets/sheet3.xml" Id="Rb7e3edaf4d2a40af" /><Relationship Type="http://schemas.openxmlformats.org/officeDocument/2006/relationships/worksheet" Target="/xl/worksheets/sheet4.xml" Id="Re2b96fb36cb444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tatosMaioTable" displayName="ContatosMaioTable" ref="A1:L215" headerRowCount="1" totalsRowCount="0" totalsRowShown="0">
  <x:tableColumns count="12">
    <x:tableColumn id="1" name="contato_id"/>
    <x:tableColumn id="2" name="recebido_em"/>
    <x:tableColumn id="3" name="canal"/>
    <x:tableColumn id="4" name="cliente_ref"/>
    <x:tableColumn id="5" name="tipo_servico"/>
    <x:tableColumn id="6" name="regiao"/>
    <x:tableColumn id="7" name="urgencia_informada"/>
    <x:tableColumn id="8" name="primeira_resposta_em"/>
    <x:tableColumn id="9" name="tempo_primeira_resposta_min"/>
    <x:tableColumn id="10" name="acima_4h"/>
    <x:tableColumn id="11" name="cadastro_completo"/>
    <x:tableColumn id="12" name="observacao_sintetic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postasMaioTable" displayName="PropostasMaioTable" ref="A1:L127" headerRowCount="1" totalsRowCount="0" totalsRowShown="0">
  <x:tableColumns count="12">
    <x:tableColumn id="1" name="proposta_id"/>
    <x:tableColumn id="2" name="contato_id"/>
    <x:tableColumn id="3" name="criada_em"/>
    <x:tableColumn id="4" name="servico"/>
    <x:tableColumn id="5" name="tempo_preparo_min"/>
    <x:tableColumn id="6" name="enviada_em"/>
    <x:tableColumn id="7" name="dias_em_aberto_no_corte"/>
    <x:tableColumn id="8" name="ultimo_follow_up_em"/>
    <x:tableColumn id="9" name="sem_follow_up_apos_5_dias"/>
    <x:tableColumn id="10" name="status"/>
    <x:tableColumn id="11" name="revisada_por_humano"/>
    <x:tableColumn id="12" name="observacao_sintetic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icoAtendimento" displayName="HistoricoAtendimento" ref="A1:F13" headerRowCount="1" totalsRowCount="0" totalsRowShown="0">
  <x:tableColumns count="6">
    <x:tableColumn id="1" name="periodo"/>
    <x:tableColumn id="2" name="volume_propostas"/>
    <x:tableColumn id="3" name="mediana_primeira_resposta_min"/>
    <x:tableColumn id="4" name="propostas_sem_followup_5d"/>
    <x:tableColumn id="5" name="tempo_medio_preparo_min"/>
    <x:tableColumn id="6" name="estimativa_preparo_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7c90abb31b40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9fc491ca0c4f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552d13b89a42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15" hidden="0" customWidth="1"/>
    <x:col min="4" max="4" width="13" hidden="0" customWidth="1"/>
    <x:col min="5" max="5" width="20" hidden="0" customWidth="1"/>
    <x:col min="6" max="6" width="13" hidden="0" customWidth="1"/>
    <x:col min="7" max="7" width="18" hidden="0" customWidth="1"/>
    <x:col min="8" max="8" width="21" hidden="0" customWidth="1"/>
    <x:col min="9" max="9" width="22" hidden="0" customWidth="1"/>
    <x:col min="10" max="10" width="12" hidden="0" customWidth="1"/>
    <x:col min="11" max="11" width="20" hidden="0" customWidth="1"/>
    <x:col min="12" max="12" width="46" hidden="0" customWidth="1"/>
  </x:cols>
  <x:sheetData>
    <x:row r="1" ht="34" customHeight="1">
      <x:c r="A1" s="9" t="str">
        <x:v>contato_id</x:v>
      </x:c>
      <x:c r="B1" s="10" t="str">
        <x:v>recebido_em</x:v>
      </x:c>
      <x:c r="C1" s="10" t="str">
        <x:v>canal</x:v>
      </x:c>
      <x:c r="D1" s="10" t="str">
        <x:v>cliente_ref</x:v>
      </x:c>
      <x:c r="E1" s="10" t="str">
        <x:v>tipo_servico</x:v>
      </x:c>
      <x:c r="F1" s="10" t="str">
        <x:v>regiao</x:v>
      </x:c>
      <x:c r="G1" s="10" t="str">
        <x:v>urgencia_informada</x:v>
      </x:c>
      <x:c r="H1" s="10" t="str">
        <x:v>primeira_resposta_em</x:v>
      </x:c>
      <x:c r="I1" s="10" t="str">
        <x:v>tempo_primeira_resposta_min</x:v>
      </x:c>
      <x:c r="J1" s="10" t="str">
        <x:v>acima_4h</x:v>
      </x:c>
      <x:c r="K1" s="10" t="str">
        <x:v>cadastro_completo</x:v>
      </x:c>
      <x:c r="L1" s="11" t="str">
        <x:v>observacao_sintetica</x:v>
      </x:c>
    </x:row>
    <x:row r="2">
      <x:c r="A2" s="17" t="str">
        <x:v>CT001</x:v>
      </x:c>
      <x:c r="B2" s="20" t="n">
        <x:v>46143.333333333336</x:v>
      </x:c>
      <x:c r="C2" s="17" t="str">
        <x:v>Formulário</x:v>
      </x:c>
      <x:c r="D2" s="17" t="str"/>
      <x:c r="E2" s="17" t="str">
        <x:v>Elétrica leve</x:v>
      </x:c>
      <x:c r="F2" s="17" t="str">
        <x:v>Norte</x:v>
      </x:c>
      <x:c r="G2" s="17" t="str">
        <x:v>Baixa</x:v>
      </x:c>
      <x:c r="H2" s="20" t="n">
        <x:v>46143.475694444445</x:v>
      </x:c>
      <x:c r="I2" s="23" t="n">
        <x:f>ROUND((H2-B2)*1440,0)</x:f>
        <x:v>205</x:v>
      </x:c>
      <x:c r="J2" s="23" t="n">
        <x:f>IF(I2&gt;240,1,0)</x:f>
        <x:v>0</x:v>
      </x:c>
      <x:c r="K2" s="23" t="n">
        <x:f>IF(AND(D2&lt;&gt;"",E2&lt;&gt;"",F2&lt;&gt;""),1,0)</x:f>
        <x:v>0</x:v>
      </x:c>
      <x:c r="L2" s="26" t="str">
        <x:v>Campo importante ausente na entrada sintética.</x:v>
      </x:c>
    </x:row>
    <x:row r="3">
      <x:c r="A3" s="18" t="str">
        <x:v>CT002</x:v>
      </x:c>
      <x:c r="B3" s="21" t="n">
        <x:v>46144.38402777778</x:v>
      </x:c>
      <x:c r="C3" s="18" t="str">
        <x:v>Mensageria</x:v>
      </x:c>
      <x:c r="D3" s="18" t="str">
        <x:v>CL002</x:v>
      </x:c>
      <x:c r="E3" s="18" t="str"/>
      <x:c r="F3" s="18" t="str">
        <x:v>Sul</x:v>
      </x:c>
      <x:c r="G3" s="18" t="str">
        <x:v>Média</x:v>
      </x:c>
      <x:c r="H3" s="21" t="n">
        <x:v>46144.45763888889</x:v>
      </x:c>
      <x:c r="I3" s="24" t="n">
        <x:f>ROUND((H3-B3)*1440,0)</x:f>
        <x:v>106</x:v>
      </x:c>
      <x:c r="J3" s="24" t="n">
        <x:f>IF(I3&gt;240,1,0)</x:f>
        <x:v>0</x:v>
      </x:c>
      <x:c r="K3" s="24" t="n">
        <x:f>IF(AND(D3&lt;&gt;"",E3&lt;&gt;"",F3&lt;&gt;""),1,0)</x:f>
        <x:v>0</x:v>
      </x:c>
      <x:c r="L3" s="27" t="str">
        <x:v>Campo importante ausente na entrada sintética.</x:v>
      </x:c>
    </x:row>
    <x:row r="4">
      <x:c r="A4" s="18" t="str">
        <x:v>CT003</x:v>
      </x:c>
      <x:c r="B4" s="21" t="n">
        <x:v>46145.43472222222</x:v>
      </x:c>
      <x:c r="C4" s="18" t="str">
        <x:v>Telefone</x:v>
      </x:c>
      <x:c r="D4" s="18" t="str">
        <x:v>CL003</x:v>
      </x:c>
      <x:c r="E4" s="18" t="str">
        <x:v>Refrigeração</x:v>
      </x:c>
      <x:c r="F4" s="18" t="str"/>
      <x:c r="G4" s="18" t="str">
        <x:v>Alta</x:v>
      </x:c>
      <x:c r="H4" s="21" t="n">
        <x:v>46145.60138888889</x:v>
      </x:c>
      <x:c r="I4" s="24" t="n">
        <x:f>ROUND((H4-B4)*1440,0)</x:f>
        <x:v>240</x:v>
      </x:c>
      <x:c r="J4" s="24" t="n">
        <x:f>IF(I4&gt;240,1,0)</x:f>
        <x:v>0</x:v>
      </x:c>
      <x:c r="K4" s="24" t="n">
        <x:f>IF(AND(D4&lt;&gt;"",E4&lt;&gt;"",F4&lt;&gt;""),1,0)</x:f>
        <x:v>0</x:v>
      </x:c>
      <x:c r="L4" s="27" t="str">
        <x:v>Campo importante ausente na entrada sintética.</x:v>
      </x:c>
    </x:row>
    <x:row r="5">
      <x:c r="A5" s="18" t="str">
        <x:v>CT004</x:v>
      </x:c>
      <x:c r="B5" s="21" t="n">
        <x:v>46146.48541666667</x:v>
      </x:c>
      <x:c r="C5" s="18" t="str">
        <x:v>Indicação</x:v>
      </x:c>
      <x:c r="D5" s="18" t="str"/>
      <x:c r="E5" s="18" t="str">
        <x:v>Hidráulica leve</x:v>
      </x:c>
      <x:c r="F5" s="18" t="str">
        <x:v>Oeste</x:v>
      </x:c>
      <x:c r="G5" s="18" t="str">
        <x:v>Não informada</x:v>
      </x:c>
      <x:c r="H5" s="21" t="n">
        <x:v>46146.535416666666</x:v>
      </x:c>
      <x:c r="I5" s="24" t="n">
        <x:f>ROUND((H5-B5)*1440,0)</x:f>
        <x:v>72</x:v>
      </x:c>
      <x:c r="J5" s="24" t="n">
        <x:f>IF(I5&gt;240,1,0)</x:f>
        <x:v>0</x:v>
      </x:c>
      <x:c r="K5" s="24" t="n">
        <x:f>IF(AND(D5&lt;&gt;"",E5&lt;&gt;"",F5&lt;&gt;""),1,0)</x:f>
        <x:v>0</x:v>
      </x:c>
      <x:c r="L5" s="27" t="str">
        <x:v>Campo importante ausente na entrada sintética.</x:v>
      </x:c>
    </x:row>
    <x:row r="6">
      <x:c r="A6" s="18" t="str">
        <x:v>CT005</x:v>
      </x:c>
      <x:c r="B6" s="21" t="n">
        <x:v>46147.53611111111</x:v>
      </x:c>
      <x:c r="C6" s="18" t="str">
        <x:v>Formulário</x:v>
      </x:c>
      <x:c r="D6" s="18" t="str">
        <x:v>CL005</x:v>
      </x:c>
      <x:c r="E6" s="18" t="str"/>
      <x:c r="F6" s="18" t="str">
        <x:v>Centro</x:v>
      </x:c>
      <x:c r="G6" s="18" t="str">
        <x:v>Baixa</x:v>
      </x:c>
      <x:c r="H6" s="21" t="n">
        <x:v>46147.62430555555</x:v>
      </x:c>
      <x:c r="I6" s="24" t="n">
        <x:f>ROUND((H6-B6)*1440,0)</x:f>
        <x:v>127</x:v>
      </x:c>
      <x:c r="J6" s="24" t="n">
        <x:f>IF(I6&gt;240,1,0)</x:f>
        <x:v>0</x:v>
      </x:c>
      <x:c r="K6" s="24" t="n">
        <x:f>IF(AND(D6&lt;&gt;"",E6&lt;&gt;"",F6&lt;&gt;""),1,0)</x:f>
        <x:v>0</x:v>
      </x:c>
      <x:c r="L6" s="27" t="str">
        <x:v>Campo importante ausente na entrada sintética.</x:v>
      </x:c>
    </x:row>
    <x:row r="7">
      <x:c r="A7" s="18" t="str">
        <x:v>CT006</x:v>
      </x:c>
      <x:c r="B7" s="21" t="n">
        <x:v>46148.54513888889</x:v>
      </x:c>
      <x:c r="C7" s="18" t="str">
        <x:v>Mensageria</x:v>
      </x:c>
      <x:c r="D7" s="18" t="str">
        <x:v>CL006</x:v>
      </x:c>
      <x:c r="E7" s="18" t="str">
        <x:v>Climatização</x:v>
      </x:c>
      <x:c r="F7" s="18" t="str"/>
      <x:c r="G7" s="18" t="str">
        <x:v>Média</x:v>
      </x:c>
      <x:c r="H7" s="21" t="n">
        <x:v>46148.768055555556</x:v>
      </x:c>
      <x:c r="I7" s="24" t="n">
        <x:f>ROUND((H7-B7)*1440,0)</x:f>
        <x:v>321</x:v>
      </x:c>
      <x:c r="J7" s="24" t="n">
        <x:f>IF(I7&gt;240,1,0)</x:f>
        <x:v>1</x:v>
      </x:c>
      <x:c r="K7" s="24" t="n">
        <x:f>IF(AND(D7&lt;&gt;"",E7&lt;&gt;"",F7&lt;&gt;""),1,0)</x:f>
        <x:v>0</x:v>
      </x:c>
      <x:c r="L7" s="27" t="str">
        <x:v>Campo importante ausente na entrada sintética.</x:v>
      </x:c>
    </x:row>
    <x:row r="8">
      <x:c r="A8" s="18" t="str">
        <x:v>CT007</x:v>
      </x:c>
      <x:c r="B8" s="21" t="n">
        <x:v>46149.59583333333</x:v>
      </x:c>
      <x:c r="C8" s="18" t="str">
        <x:v>Telefone</x:v>
      </x:c>
      <x:c r="D8" s="18" t="str"/>
      <x:c r="E8" s="18" t="str">
        <x:v>Refrigeração</x:v>
      </x:c>
      <x:c r="F8" s="18" t="str">
        <x:v>Sul</x:v>
      </x:c>
      <x:c r="G8" s="18" t="str">
        <x:v>Alta</x:v>
      </x:c>
      <x:c r="H8" s="21" t="n">
        <x:v>46150.03194444445</x:v>
      </x:c>
      <x:c r="I8" s="24" t="n">
        <x:f>ROUND((H8-B8)*1440,0)</x:f>
        <x:v>628</x:v>
      </x:c>
      <x:c r="J8" s="24" t="n">
        <x:f>IF(I8&gt;240,1,0)</x:f>
        <x:v>1</x:v>
      </x:c>
      <x:c r="K8" s="24" t="n">
        <x:f>IF(AND(D8&lt;&gt;"",E8&lt;&gt;"",F8&lt;&gt;""),1,0)</x:f>
        <x:v>0</x:v>
      </x:c>
      <x:c r="L8" s="27" t="str">
        <x:v>Campo importante ausente na entrada sintética.</x:v>
      </x:c>
    </x:row>
    <x:row r="9">
      <x:c r="A9" s="18" t="str">
        <x:v>CT008</x:v>
      </x:c>
      <x:c r="B9" s="21" t="n">
        <x:v>46150.646527777775</x:v>
      </x:c>
      <x:c r="C9" s="18" t="str">
        <x:v>Indicação</x:v>
      </x:c>
      <x:c r="D9" s="18" t="str">
        <x:v>CL008</x:v>
      </x:c>
      <x:c r="E9" s="18" t="str"/>
      <x:c r="F9" s="18" t="str">
        <x:v>Leste</x:v>
      </x:c>
      <x:c r="G9" s="18" t="str">
        <x:v>Não informada</x:v>
      </x:c>
      <x:c r="H9" s="21" t="n">
        <x:v>46150.790972222225</x:v>
      </x:c>
      <x:c r="I9" s="24" t="n">
        <x:f>ROUND((H9-B9)*1440,0)</x:f>
        <x:v>208</x:v>
      </x:c>
      <x:c r="J9" s="24" t="n">
        <x:f>IF(I9&gt;240,1,0)</x:f>
        <x:v>0</x:v>
      </x:c>
      <x:c r="K9" s="24" t="n">
        <x:f>IF(AND(D9&lt;&gt;"",E9&lt;&gt;"",F9&lt;&gt;""),1,0)</x:f>
        <x:v>0</x:v>
      </x:c>
      <x:c r="L9" s="27" t="str">
        <x:v>Campo importante ausente na entrada sintética.</x:v>
      </x:c>
    </x:row>
    <x:row r="10">
      <x:c r="A10" s="18" t="str">
        <x:v>CT009</x:v>
      </x:c>
      <x:c r="B10" s="21" t="n">
        <x:v>46151.697222222225</x:v>
      </x:c>
      <x:c r="C10" s="18" t="str">
        <x:v>Formulário</x:v>
      </x:c>
      <x:c r="D10" s="18" t="str">
        <x:v>CL009</x:v>
      </x:c>
      <x:c r="E10" s="18" t="str">
        <x:v>Elétrica leve</x:v>
      </x:c>
      <x:c r="F10" s="18" t="str"/>
      <x:c r="G10" s="18" t="str">
        <x:v>Baixa</x:v>
      </x:c>
      <x:c r="H10" s="21" t="n">
        <x:v>46151.77013888889</x:v>
      </x:c>
      <x:c r="I10" s="24" t="n">
        <x:f>ROUND((H10-B10)*1440,0)</x:f>
        <x:v>105</x:v>
      </x:c>
      <x:c r="J10" s="24" t="n">
        <x:f>IF(I10&gt;240,1,0)</x:f>
        <x:v>0</x:v>
      </x:c>
      <x:c r="K10" s="24" t="n">
        <x:f>IF(AND(D10&lt;&gt;"",E10&lt;&gt;"",F10&lt;&gt;""),1,0)</x:f>
        <x:v>0</x:v>
      </x:c>
      <x:c r="L10" s="27" t="str">
        <x:v>Campo importante ausente na entrada sintética.</x:v>
      </x:c>
    </x:row>
    <x:row r="11">
      <x:c r="A11" s="18" t="str">
        <x:v>CT010</x:v>
      </x:c>
      <x:c r="B11" s="21" t="n">
        <x:v>46152.74791666667</x:v>
      </x:c>
      <x:c r="C11" s="18" t="str">
        <x:v>Mensageria</x:v>
      </x:c>
      <x:c r="D11" s="18" t="str"/>
      <x:c r="E11" s="18" t="str">
        <x:v>Climatização</x:v>
      </x:c>
      <x:c r="F11" s="18" t="str">
        <x:v>Centro</x:v>
      </x:c>
      <x:c r="G11" s="18" t="str">
        <x:v>Média</x:v>
      </x:c>
      <x:c r="H11" s="21" t="n">
        <x:v>46152.96319444444</x:v>
      </x:c>
      <x:c r="I11" s="24" t="n">
        <x:f>ROUND((H11-B11)*1440,0)</x:f>
        <x:v>310</x:v>
      </x:c>
      <x:c r="J11" s="24" t="n">
        <x:f>IF(I11&gt;240,1,0)</x:f>
        <x:v>1</x:v>
      </x:c>
      <x:c r="K11" s="24" t="n">
        <x:f>IF(AND(D11&lt;&gt;"",E11&lt;&gt;"",F11&lt;&gt;""),1,0)</x:f>
        <x:v>0</x:v>
      </x:c>
      <x:c r="L11" s="27" t="str">
        <x:v>Campo importante ausente na entrada sintética.</x:v>
      </x:c>
    </x:row>
    <x:row r="12">
      <x:c r="A12" s="18" t="str">
        <x:v>CT011</x:v>
      </x:c>
      <x:c r="B12" s="21" t="n">
        <x:v>46153.34027777778</x:v>
      </x:c>
      <x:c r="C12" s="18" t="str">
        <x:v>Telefone</x:v>
      </x:c>
      <x:c r="D12" s="18" t="str">
        <x:v>CL011</x:v>
      </x:c>
      <x:c r="E12" s="18" t="str"/>
      <x:c r="F12" s="18" t="str">
        <x:v>Norte</x:v>
      </x:c>
      <x:c r="G12" s="18" t="str">
        <x:v>Alta</x:v>
      </x:c>
      <x:c r="H12" s="21" t="n">
        <x:v>46153.69513888889</x:v>
      </x:c>
      <x:c r="I12" s="24" t="n">
        <x:f>ROUND((H12-B12)*1440,0)</x:f>
        <x:v>511</x:v>
      </x:c>
      <x:c r="J12" s="24" t="n">
        <x:f>IF(I12&gt;240,1,0)</x:f>
        <x:v>1</x:v>
      </x:c>
      <x:c r="K12" s="24" t="n">
        <x:f>IF(AND(D12&lt;&gt;"",E12&lt;&gt;"",F12&lt;&gt;""),1,0)</x:f>
        <x:v>0</x:v>
      </x:c>
      <x:c r="L12" s="27" t="str">
        <x:v>Campo importante ausente na entrada sintética.</x:v>
      </x:c>
    </x:row>
    <x:row r="13">
      <x:c r="A13" s="18" t="str">
        <x:v>CT012</x:v>
      </x:c>
      <x:c r="B13" s="21" t="n">
        <x:v>46154.39097222222</x:v>
      </x:c>
      <x:c r="C13" s="18" t="str">
        <x:v>Indicação</x:v>
      </x:c>
      <x:c r="D13" s="18" t="str">
        <x:v>CL012</x:v>
      </x:c>
      <x:c r="E13" s="18" t="str">
        <x:v>Hidráulica leve</x:v>
      </x:c>
      <x:c r="F13" s="18" t="str"/>
      <x:c r="G13" s="18" t="str">
        <x:v>Não informada</x:v>
      </x:c>
      <x:c r="H13" s="21" t="n">
        <x:v>46154.75347222222</x:v>
      </x:c>
      <x:c r="I13" s="24" t="n">
        <x:f>ROUND((H13-B13)*1440,0)</x:f>
        <x:v>522</x:v>
      </x:c>
      <x:c r="J13" s="24" t="n">
        <x:f>IF(I13&gt;240,1,0)</x:f>
        <x:v>1</x:v>
      </x:c>
      <x:c r="K13" s="24" t="n">
        <x:f>IF(AND(D13&lt;&gt;"",E13&lt;&gt;"",F13&lt;&gt;""),1,0)</x:f>
        <x:v>0</x:v>
      </x:c>
      <x:c r="L13" s="27" t="str">
        <x:v>Campo importante ausente na entrada sintética.</x:v>
      </x:c>
    </x:row>
    <x:row r="14">
      <x:c r="A14" s="18" t="str">
        <x:v>CT013</x:v>
      </x:c>
      <x:c r="B14" s="21" t="n">
        <x:v>46155.441666666666</x:v>
      </x:c>
      <x:c r="C14" s="18" t="str">
        <x:v>Formulário</x:v>
      </x:c>
      <x:c r="D14" s="18" t="str"/>
      <x:c r="E14" s="18" t="str">
        <x:v>Elétrica leve</x:v>
      </x:c>
      <x:c r="F14" s="18" t="str">
        <x:v>Leste</x:v>
      </x:c>
      <x:c r="G14" s="18" t="str">
        <x:v>Baixa</x:v>
      </x:c>
      <x:c r="H14" s="21" t="n">
        <x:v>46155.47777777778</x:v>
      </x:c>
      <x:c r="I14" s="24" t="n">
        <x:f>ROUND((H14-B14)*1440,0)</x:f>
        <x:v>52</x:v>
      </x:c>
      <x:c r="J14" s="24" t="n">
        <x:f>IF(I14&gt;240,1,0)</x:f>
        <x:v>0</x:v>
      </x:c>
      <x:c r="K14" s="24" t="n">
        <x:f>IF(AND(D14&lt;&gt;"",E14&lt;&gt;"",F14&lt;&gt;""),1,0)</x:f>
        <x:v>0</x:v>
      </x:c>
      <x:c r="L14" s="27" t="str">
        <x:v>Campo importante ausente na entrada sintética.</x:v>
      </x:c>
    </x:row>
    <x:row r="15">
      <x:c r="A15" s="18" t="str">
        <x:v>CT014</x:v>
      </x:c>
      <x:c r="B15" s="21" t="n">
        <x:v>46156.49236111111</x:v>
      </x:c>
      <x:c r="C15" s="18" t="str">
        <x:v>Mensageria</x:v>
      </x:c>
      <x:c r="D15" s="18" t="str">
        <x:v>CL014</x:v>
      </x:c>
      <x:c r="E15" s="18" t="str"/>
      <x:c r="F15" s="18" t="str">
        <x:v>Oeste</x:v>
      </x:c>
      <x:c r="G15" s="18" t="str">
        <x:v>Média</x:v>
      </x:c>
      <x:c r="H15" s="21" t="n">
        <x:v>46156.65347222222</x:v>
      </x:c>
      <x:c r="I15" s="24" t="n">
        <x:f>ROUND((H15-B15)*1440,0)</x:f>
        <x:v>232</x:v>
      </x:c>
      <x:c r="J15" s="24" t="n">
        <x:f>IF(I15&gt;240,1,0)</x:f>
        <x:v>0</x:v>
      </x:c>
      <x:c r="K15" s="24" t="n">
        <x:f>IF(AND(D15&lt;&gt;"",E15&lt;&gt;"",F15&lt;&gt;""),1,0)</x:f>
        <x:v>0</x:v>
      </x:c>
      <x:c r="L15" s="27" t="str">
        <x:v>Campo importante ausente na entrada sintética.</x:v>
      </x:c>
    </x:row>
    <x:row r="16">
      <x:c r="A16" s="18" t="str">
        <x:v>CT015</x:v>
      </x:c>
      <x:c r="B16" s="21" t="n">
        <x:v>46157.501388888886</x:v>
      </x:c>
      <x:c r="C16" s="18" t="str">
        <x:v>Telefone</x:v>
      </x:c>
      <x:c r="D16" s="18" t="str">
        <x:v>CL015</x:v>
      </x:c>
      <x:c r="E16" s="18" t="str">
        <x:v>Refrigeração</x:v>
      </x:c>
      <x:c r="F16" s="18" t="str"/>
      <x:c r="G16" s="18" t="str">
        <x:v>Alta</x:v>
      </x:c>
      <x:c r="H16" s="21" t="n">
        <x:v>46157.63402777778</x:v>
      </x:c>
      <x:c r="I16" s="24" t="n">
        <x:f>ROUND((H16-B16)*1440,0)</x:f>
        <x:v>191</x:v>
      </x:c>
      <x:c r="J16" s="24" t="n">
        <x:f>IF(I16&gt;240,1,0)</x:f>
        <x:v>0</x:v>
      </x:c>
      <x:c r="K16" s="24" t="n">
        <x:f>IF(AND(D16&lt;&gt;"",E16&lt;&gt;"",F16&lt;&gt;""),1,0)</x:f>
        <x:v>0</x:v>
      </x:c>
      <x:c r="L16" s="27" t="str">
        <x:v>Campo importante ausente na entrada sintética.</x:v>
      </x:c>
    </x:row>
    <x:row r="17">
      <x:c r="A17" s="18" t="str">
        <x:v>CT016</x:v>
      </x:c>
      <x:c r="B17" s="21" t="n">
        <x:v>46158.552083333336</x:v>
      </x:c>
      <x:c r="C17" s="18" t="str">
        <x:v>Indicação</x:v>
      </x:c>
      <x:c r="D17" s="18" t="str"/>
      <x:c r="E17" s="18" t="str">
        <x:v>Hidráulica leve</x:v>
      </x:c>
      <x:c r="F17" s="18" t="str">
        <x:v>Norte</x:v>
      </x:c>
      <x:c r="G17" s="18" t="str">
        <x:v>Não informada</x:v>
      </x:c>
      <x:c r="H17" s="21" t="n">
        <x:v>46158.688888888886</x:v>
      </x:c>
      <x:c r="I17" s="24" t="n">
        <x:f>ROUND((H17-B17)*1440,0)</x:f>
        <x:v>197</x:v>
      </x:c>
      <x:c r="J17" s="24" t="n">
        <x:f>IF(I17&gt;240,1,0)</x:f>
        <x:v>0</x:v>
      </x:c>
      <x:c r="K17" s="24" t="n">
        <x:f>IF(AND(D17&lt;&gt;"",E17&lt;&gt;"",F17&lt;&gt;""),1,0)</x:f>
        <x:v>0</x:v>
      </x:c>
      <x:c r="L17" s="27" t="str">
        <x:v>Campo importante ausente na entrada sintética.</x:v>
      </x:c>
    </x:row>
    <x:row r="18">
      <x:c r="A18" s="18" t="str">
        <x:v>CT017</x:v>
      </x:c>
      <x:c r="B18" s="21" t="n">
        <x:v>46159.60277777778</x:v>
      </x:c>
      <x:c r="C18" s="18" t="str">
        <x:v>Formulário</x:v>
      </x:c>
      <x:c r="D18" s="18" t="str">
        <x:v>CL017</x:v>
      </x:c>
      <x:c r="E18" s="18" t="str"/>
      <x:c r="F18" s="18" t="str">
        <x:v>Sul</x:v>
      </x:c>
      <x:c r="G18" s="18" t="str">
        <x:v>Baixa</x:v>
      </x:c>
      <x:c r="H18" s="21" t="n">
        <x:v>46159.67291666667</x:v>
      </x:c>
      <x:c r="I18" s="24" t="n">
        <x:f>ROUND((H18-B18)*1440,0)</x:f>
        <x:v>101</x:v>
      </x:c>
      <x:c r="J18" s="24" t="n">
        <x:f>IF(I18&gt;240,1,0)</x:f>
        <x:v>0</x:v>
      </x:c>
      <x:c r="K18" s="24" t="n">
        <x:f>IF(AND(D18&lt;&gt;"",E18&lt;&gt;"",F18&lt;&gt;""),1,0)</x:f>
        <x:v>0</x:v>
      </x:c>
      <x:c r="L18" s="27" t="str">
        <x:v>Campo importante ausente na entrada sintética.</x:v>
      </x:c>
    </x:row>
    <x:row r="19">
      <x:c r="A19" s="18" t="str">
        <x:v>CT018</x:v>
      </x:c>
      <x:c r="B19" s="21" t="n">
        <x:v>46160.65347222222</x:v>
      </x:c>
      <x:c r="C19" s="18" t="str">
        <x:v>Mensageria</x:v>
      </x:c>
      <x:c r="D19" s="18" t="str">
        <x:v>CL018</x:v>
      </x:c>
      <x:c r="E19" s="18" t="str">
        <x:v>Climatização</x:v>
      </x:c>
      <x:c r="F19" s="18" t="str"/>
      <x:c r="G19" s="18" t="str">
        <x:v>Média</x:v>
      </x:c>
      <x:c r="H19" s="21" t="n">
        <x:v>46160.75833333333</x:v>
      </x:c>
      <x:c r="I19" s="24" t="n">
        <x:f>ROUND((H19-B19)*1440,0)</x:f>
        <x:v>151</x:v>
      </x:c>
      <x:c r="J19" s="24" t="n">
        <x:f>IF(I19&gt;240,1,0)</x:f>
        <x:v>0</x:v>
      </x:c>
      <x:c r="K19" s="24" t="n">
        <x:f>IF(AND(D19&lt;&gt;"",E19&lt;&gt;"",F19&lt;&gt;""),1,0)</x:f>
        <x:v>0</x:v>
      </x:c>
      <x:c r="L19" s="27" t="str">
        <x:v>Campo importante ausente na entrada sintética.</x:v>
      </x:c>
    </x:row>
    <x:row r="20">
      <x:c r="A20" s="18" t="str">
        <x:v>CT019</x:v>
      </x:c>
      <x:c r="B20" s="21" t="n">
        <x:v>46161.70416666667</x:v>
      </x:c>
      <x:c r="C20" s="18" t="str">
        <x:v>Telefone</x:v>
      </x:c>
      <x:c r="D20" s="18" t="str"/>
      <x:c r="E20" s="18" t="str">
        <x:v>Refrigeração</x:v>
      </x:c>
      <x:c r="F20" s="18" t="str">
        <x:v>Oeste</x:v>
      </x:c>
      <x:c r="G20" s="18" t="str">
        <x:v>Alta</x:v>
      </x:c>
      <x:c r="H20" s="21" t="n">
        <x:v>46161.759722222225</x:v>
      </x:c>
      <x:c r="I20" s="24" t="n">
        <x:f>ROUND((H20-B20)*1440,0)</x:f>
        <x:v>80</x:v>
      </x:c>
      <x:c r="J20" s="24" t="n">
        <x:f>IF(I20&gt;240,1,0)</x:f>
        <x:v>0</x:v>
      </x:c>
      <x:c r="K20" s="24" t="n">
        <x:f>IF(AND(D20&lt;&gt;"",E20&lt;&gt;"",F20&lt;&gt;""),1,0)</x:f>
        <x:v>0</x:v>
      </x:c>
      <x:c r="L20" s="27" t="str">
        <x:v>Campo importante ausente na entrada sintética.</x:v>
      </x:c>
    </x:row>
    <x:row r="21">
      <x:c r="A21" s="18" t="str">
        <x:v>CT020</x:v>
      </x:c>
      <x:c r="B21" s="21" t="n">
        <x:v>46162.71319444444</x:v>
      </x:c>
      <x:c r="C21" s="18" t="str">
        <x:v>Indicação</x:v>
      </x:c>
      <x:c r="D21" s="18" t="str">
        <x:v>CL020</x:v>
      </x:c>
      <x:c r="E21" s="18" t="str"/>
      <x:c r="F21" s="18" t="str">
        <x:v>Centro</x:v>
      </x:c>
      <x:c r="G21" s="18" t="str">
        <x:v>Não informada</x:v>
      </x:c>
      <x:c r="H21" s="21" t="n">
        <x:v>46162.87291666667</x:v>
      </x:c>
      <x:c r="I21" s="24" t="n">
        <x:f>ROUND((H21-B21)*1440,0)</x:f>
        <x:v>230</x:v>
      </x:c>
      <x:c r="J21" s="24" t="n">
        <x:f>IF(I21&gt;240,1,0)</x:f>
        <x:v>0</x:v>
      </x:c>
      <x:c r="K21" s="24" t="n">
        <x:f>IF(AND(D21&lt;&gt;"",E21&lt;&gt;"",F21&lt;&gt;""),1,0)</x:f>
        <x:v>0</x:v>
      </x:c>
      <x:c r="L21" s="27" t="str">
        <x:v>Campo importante ausente na entrada sintética.</x:v>
      </x:c>
    </x:row>
    <x:row r="22">
      <x:c r="A22" s="18" t="str">
        <x:v>CT021</x:v>
      </x:c>
      <x:c r="B22" s="21" t="n">
        <x:v>46163.34722222222</x:v>
      </x:c>
      <x:c r="C22" s="18" t="str">
        <x:v>Formulário</x:v>
      </x:c>
      <x:c r="D22" s="18" t="str">
        <x:v>CL021</x:v>
      </x:c>
      <x:c r="E22" s="18" t="str">
        <x:v>Elétrica leve</x:v>
      </x:c>
      <x:c r="F22" s="18" t="str"/>
      <x:c r="G22" s="18" t="str">
        <x:v>Baixa</x:v>
      </x:c>
      <x:c r="H22" s="21" t="n">
        <x:v>46163.45416666667</x:v>
      </x:c>
      <x:c r="I22" s="24" t="n">
        <x:f>ROUND((H22-B22)*1440,0)</x:f>
        <x:v>154</x:v>
      </x:c>
      <x:c r="J22" s="24" t="n">
        <x:f>IF(I22&gt;240,1,0)</x:f>
        <x:v>0</x:v>
      </x:c>
      <x:c r="K22" s="24" t="n">
        <x:f>IF(AND(D22&lt;&gt;"",E22&lt;&gt;"",F22&lt;&gt;""),1,0)</x:f>
        <x:v>0</x:v>
      </x:c>
      <x:c r="L22" s="27" t="str">
        <x:v>Campo importante ausente na entrada sintética.</x:v>
      </x:c>
    </x:row>
    <x:row r="23">
      <x:c r="A23" s="18" t="str">
        <x:v>CT022</x:v>
      </x:c>
      <x:c r="B23" s="21" t="n">
        <x:v>46164.39791666667</x:v>
      </x:c>
      <x:c r="C23" s="18" t="str">
        <x:v>Mensageria</x:v>
      </x:c>
      <x:c r="D23" s="18" t="str"/>
      <x:c r="E23" s="18" t="str">
        <x:v>Climatização</x:v>
      </x:c>
      <x:c r="F23" s="18" t="str">
        <x:v>Sul</x:v>
      </x:c>
      <x:c r="G23" s="18" t="str">
        <x:v>Média</x:v>
      </x:c>
      <x:c r="H23" s="21" t="n">
        <x:v>46164.847916666666</x:v>
      </x:c>
      <x:c r="I23" s="24" t="n">
        <x:f>ROUND((H23-B23)*1440,0)</x:f>
        <x:v>648</x:v>
      </x:c>
      <x:c r="J23" s="24" t="n">
        <x:f>IF(I23&gt;240,1,0)</x:f>
        <x:v>1</x:v>
      </x:c>
      <x:c r="K23" s="24" t="n">
        <x:f>IF(AND(D23&lt;&gt;"",E23&lt;&gt;"",F23&lt;&gt;""),1,0)</x:f>
        <x:v>0</x:v>
      </x:c>
      <x:c r="L23" s="27" t="str">
        <x:v>Campo importante ausente na entrada sintética.</x:v>
      </x:c>
    </x:row>
    <x:row r="24">
      <x:c r="A24" s="18" t="str">
        <x:v>CT023</x:v>
      </x:c>
      <x:c r="B24" s="21" t="n">
        <x:v>46165.44861111111</x:v>
      </x:c>
      <x:c r="C24" s="18" t="str">
        <x:v>Telefone</x:v>
      </x:c>
      <x:c r="D24" s="18" t="str">
        <x:v>CL023</x:v>
      </x:c>
      <x:c r="E24" s="18" t="str"/>
      <x:c r="F24" s="18" t="str">
        <x:v>Leste</x:v>
      </x:c>
      <x:c r="G24" s="18" t="str">
        <x:v>Alta</x:v>
      </x:c>
      <x:c r="H24" s="21" t="n">
        <x:v>46165.60208333333</x:v>
      </x:c>
      <x:c r="I24" s="24" t="n">
        <x:f>ROUND((H24-B24)*1440,0)</x:f>
        <x:v>221</x:v>
      </x:c>
      <x:c r="J24" s="24" t="n">
        <x:f>IF(I24&gt;240,1,0)</x:f>
        <x:v>0</x:v>
      </x:c>
      <x:c r="K24" s="24" t="n">
        <x:f>IF(AND(D24&lt;&gt;"",E24&lt;&gt;"",F24&lt;&gt;""),1,0)</x:f>
        <x:v>0</x:v>
      </x:c>
      <x:c r="L24" s="27" t="str">
        <x:v>Campo importante ausente na entrada sintética.</x:v>
      </x:c>
    </x:row>
    <x:row r="25">
      <x:c r="A25" s="18" t="str">
        <x:v>CT024</x:v>
      </x:c>
      <x:c r="B25" s="21" t="n">
        <x:v>46166.49930555555</x:v>
      </x:c>
      <x:c r="C25" s="18" t="str">
        <x:v>Indicação</x:v>
      </x:c>
      <x:c r="D25" s="18" t="str">
        <x:v>CL024</x:v>
      </x:c>
      <x:c r="E25" s="18" t="str">
        <x:v>Hidráulica leve</x:v>
      </x:c>
      <x:c r="F25" s="18" t="str"/>
      <x:c r="G25" s="18" t="str">
        <x:v>Não informada</x:v>
      </x:c>
      <x:c r="H25" s="21" t="n">
        <x:v>46166.53472222222</x:v>
      </x:c>
      <x:c r="I25" s="24" t="n">
        <x:f>ROUND((H25-B25)*1440,0)</x:f>
        <x:v>51</x:v>
      </x:c>
      <x:c r="J25" s="24" t="n">
        <x:f>IF(I25&gt;240,1,0)</x:f>
        <x:v>0</x:v>
      </x:c>
      <x:c r="K25" s="24" t="n">
        <x:f>IF(AND(D25&lt;&gt;"",E25&lt;&gt;"",F25&lt;&gt;""),1,0)</x:f>
        <x:v>0</x:v>
      </x:c>
      <x:c r="L25" s="27" t="str">
        <x:v>Campo importante ausente na entrada sintética.</x:v>
      </x:c>
    </x:row>
    <x:row r="26">
      <x:c r="A26" s="18" t="str">
        <x:v>CT025</x:v>
      </x:c>
      <x:c r="B26" s="21" t="n">
        <x:v>46167.50833333333</x:v>
      </x:c>
      <x:c r="C26" s="18" t="str">
        <x:v>Formulário</x:v>
      </x:c>
      <x:c r="D26" s="18" t="str"/>
      <x:c r="E26" s="18" t="str">
        <x:v>Elétrica leve</x:v>
      </x:c>
      <x:c r="F26" s="18" t="str">
        <x:v>Centro</x:v>
      </x:c>
      <x:c r="G26" s="18" t="str">
        <x:v>Baixa</x:v>
      </x:c>
      <x:c r="H26" s="21" t="n">
        <x:v>46167.774305555555</x:v>
      </x:c>
      <x:c r="I26" s="24" t="n">
        <x:f>ROUND((H26-B26)*1440,0)</x:f>
        <x:v>383</x:v>
      </x:c>
      <x:c r="J26" s="24" t="n">
        <x:f>IF(I26&gt;240,1,0)</x:f>
        <x:v>1</x:v>
      </x:c>
      <x:c r="K26" s="24" t="n">
        <x:f>IF(AND(D26&lt;&gt;"",E26&lt;&gt;"",F26&lt;&gt;""),1,0)</x:f>
        <x:v>0</x:v>
      </x:c>
      <x:c r="L26" s="27" t="str">
        <x:v>Campo importante ausente na entrada sintética.</x:v>
      </x:c>
    </x:row>
    <x:row r="27">
      <x:c r="A27" s="18" t="str">
        <x:v>CT026</x:v>
      </x:c>
      <x:c r="B27" s="21" t="n">
        <x:v>46168.55902777778</x:v>
      </x:c>
      <x:c r="C27" s="18" t="str">
        <x:v>Mensageria</x:v>
      </x:c>
      <x:c r="D27" s="18" t="str">
        <x:v>CL026</x:v>
      </x:c>
      <x:c r="E27" s="18" t="str"/>
      <x:c r="F27" s="18" t="str">
        <x:v>Norte</x:v>
      </x:c>
      <x:c r="G27" s="18" t="str">
        <x:v>Média</x:v>
      </x:c>
      <x:c r="H27" s="21" t="n">
        <x:v>46169.00277777778</x:v>
      </x:c>
      <x:c r="I27" s="24" t="n">
        <x:f>ROUND((H27-B27)*1440,0)</x:f>
        <x:v>639</x:v>
      </x:c>
      <x:c r="J27" s="24" t="n">
        <x:f>IF(I27&gt;240,1,0)</x:f>
        <x:v>1</x:v>
      </x:c>
      <x:c r="K27" s="24" t="n">
        <x:f>IF(AND(D27&lt;&gt;"",E27&lt;&gt;"",F27&lt;&gt;""),1,0)</x:f>
        <x:v>0</x:v>
      </x:c>
      <x:c r="L27" s="27" t="str">
        <x:v>Campo importante ausente na entrada sintética.</x:v>
      </x:c>
    </x:row>
    <x:row r="28">
      <x:c r="A28" s="18" t="str">
        <x:v>CT027</x:v>
      </x:c>
      <x:c r="B28" s="21" t="n">
        <x:v>46169.60972222222</x:v>
      </x:c>
      <x:c r="C28" s="18" t="str">
        <x:v>Telefone</x:v>
      </x:c>
      <x:c r="D28" s="18" t="str">
        <x:v>CL027</x:v>
      </x:c>
      <x:c r="E28" s="18" t="str">
        <x:v>Refrigeração</x:v>
      </x:c>
      <x:c r="F28" s="18" t="str"/>
      <x:c r="G28" s="18" t="str">
        <x:v>Alta</x:v>
      </x:c>
      <x:c r="H28" s="21" t="n">
        <x:v>46169.64097222222</x:v>
      </x:c>
      <x:c r="I28" s="24" t="n">
        <x:f>ROUND((H28-B28)*1440,0)</x:f>
        <x:v>45</x:v>
      </x:c>
      <x:c r="J28" s="24" t="n">
        <x:f>IF(I28&gt;240,1,0)</x:f>
        <x:v>0</x:v>
      </x:c>
      <x:c r="K28" s="24" t="n">
        <x:f>IF(AND(D28&lt;&gt;"",E28&lt;&gt;"",F28&lt;&gt;""),1,0)</x:f>
        <x:v>0</x:v>
      </x:c>
      <x:c r="L28" s="27" t="str">
        <x:v>Campo importante ausente na entrada sintética.</x:v>
      </x:c>
    </x:row>
    <x:row r="29">
      <x:c r="A29" s="18" t="str">
        <x:v>CT028</x:v>
      </x:c>
      <x:c r="B29" s="21" t="n">
        <x:v>46170.660416666666</x:v>
      </x:c>
      <x:c r="C29" s="18" t="str">
        <x:v>Indicação</x:v>
      </x:c>
      <x:c r="D29" s="18" t="str"/>
      <x:c r="E29" s="18" t="str">
        <x:v>Hidráulica leve</x:v>
      </x:c>
      <x:c r="F29" s="18" t="str">
        <x:v>Leste</x:v>
      </x:c>
      <x:c r="G29" s="18" t="str">
        <x:v>Não informada</x:v>
      </x:c>
      <x:c r="H29" s="21" t="n">
        <x:v>46170.79027777778</x:v>
      </x:c>
      <x:c r="I29" s="24" t="n">
        <x:f>ROUND((H29-B29)*1440,0)</x:f>
        <x:v>187</x:v>
      </x:c>
      <x:c r="J29" s="24" t="n">
        <x:f>IF(I29&gt;240,1,0)</x:f>
        <x:v>0</x:v>
      </x:c>
      <x:c r="K29" s="24" t="n">
        <x:f>IF(AND(D29&lt;&gt;"",E29&lt;&gt;"",F29&lt;&gt;""),1,0)</x:f>
        <x:v>0</x:v>
      </x:c>
      <x:c r="L29" s="27" t="str">
        <x:v>Campo importante ausente na entrada sintética.</x:v>
      </x:c>
    </x:row>
    <x:row r="30">
      <x:c r="A30" s="18" t="str">
        <x:v>CT029</x:v>
      </x:c>
      <x:c r="B30" s="21" t="n">
        <x:v>46143.669444444444</x:v>
      </x:c>
      <x:c r="C30" s="18" t="str">
        <x:v>Formulário</x:v>
      </x:c>
      <x:c r="D30" s="18" t="str">
        <x:v>CL029</x:v>
      </x:c>
      <x:c r="E30" s="18" t="str"/>
      <x:c r="F30" s="18" t="str">
        <x:v>Oeste</x:v>
      </x:c>
      <x:c r="G30" s="18" t="str">
        <x:v>Baixa</x:v>
      </x:c>
      <x:c r="H30" s="21" t="n">
        <x:v>46143.80763888889</x:v>
      </x:c>
      <x:c r="I30" s="24" t="n">
        <x:f>ROUND((H30-B30)*1440,0)</x:f>
        <x:v>199</x:v>
      </x:c>
      <x:c r="J30" s="24" t="n">
        <x:f>IF(I30&gt;240,1,0)</x:f>
        <x:v>0</x:v>
      </x:c>
      <x:c r="K30" s="24" t="n">
        <x:f>IF(AND(D30&lt;&gt;"",E30&lt;&gt;"",F30&lt;&gt;""),1,0)</x:f>
        <x:v>0</x:v>
      </x:c>
      <x:c r="L30" s="27" t="str">
        <x:v>Campo importante ausente na entrada sintética.</x:v>
      </x:c>
    </x:row>
    <x:row r="31">
      <x:c r="A31" s="18" t="str">
        <x:v>CT030</x:v>
      </x:c>
      <x:c r="B31" s="21" t="n">
        <x:v>46144.720138888886</x:v>
      </x:c>
      <x:c r="C31" s="18" t="str">
        <x:v>Mensageria</x:v>
      </x:c>
      <x:c r="D31" s="18" t="str">
        <x:v>CL030</x:v>
      </x:c>
      <x:c r="E31" s="18" t="str">
        <x:v>Climatização</x:v>
      </x:c>
      <x:c r="F31" s="18" t="str"/>
      <x:c r="G31" s="18" t="str">
        <x:v>Média</x:v>
      </x:c>
      <x:c r="H31" s="21" t="n">
        <x:v>46144.86736111111</x:v>
      </x:c>
      <x:c r="I31" s="24" t="n">
        <x:f>ROUND((H31-B31)*1440,0)</x:f>
        <x:v>212</x:v>
      </x:c>
      <x:c r="J31" s="24" t="n">
        <x:f>IF(I31&gt;240,1,0)</x:f>
        <x:v>0</x:v>
      </x:c>
      <x:c r="K31" s="24" t="n">
        <x:f>IF(AND(D31&lt;&gt;"",E31&lt;&gt;"",F31&lt;&gt;""),1,0)</x:f>
        <x:v>0</x:v>
      </x:c>
      <x:c r="L31" s="27" t="str">
        <x:v>Campo importante ausente na entrada sintética.</x:v>
      </x:c>
    </x:row>
    <x:row r="32">
      <x:c r="A32" s="18" t="str">
        <x:v>CT031</x:v>
      </x:c>
      <x:c r="B32" s="21" t="n">
        <x:v>46145.354166666664</x:v>
      </x:c>
      <x:c r="C32" s="18" t="str">
        <x:v>Telefone</x:v>
      </x:c>
      <x:c r="D32" s="18" t="str"/>
      <x:c r="E32" s="18" t="str">
        <x:v>Refrigeração</x:v>
      </x:c>
      <x:c r="F32" s="18" t="str">
        <x:v>Norte</x:v>
      </x:c>
      <x:c r="G32" s="18" t="str">
        <x:v>Alta</x:v>
      </x:c>
      <x:c r="H32" s="21" t="n">
        <x:v>46145.415972222225</x:v>
      </x:c>
      <x:c r="I32" s="24" t="n">
        <x:f>ROUND((H32-B32)*1440,0)</x:f>
        <x:v>89</x:v>
      </x:c>
      <x:c r="J32" s="24" t="n">
        <x:f>IF(I32&gt;240,1,0)</x:f>
        <x:v>0</x:v>
      </x:c>
      <x:c r="K32" s="24" t="n">
        <x:f>IF(AND(D32&lt;&gt;"",E32&lt;&gt;"",F32&lt;&gt;""),1,0)</x:f>
        <x:v>0</x:v>
      </x:c>
      <x:c r="L32" s="27" t="str">
        <x:v>Campo importante ausente na entrada sintética.</x:v>
      </x:c>
    </x:row>
    <x:row r="33">
      <x:c r="A33" s="18" t="str">
        <x:v>CT032</x:v>
      </x:c>
      <x:c r="B33" s="21" t="n">
        <x:v>46146.404861111114</x:v>
      </x:c>
      <x:c r="C33" s="18" t="str">
        <x:v>Indicação</x:v>
      </x:c>
      <x:c r="D33" s="18" t="str">
        <x:v>CL032</x:v>
      </x:c>
      <x:c r="E33" s="18" t="str"/>
      <x:c r="F33" s="18" t="str">
        <x:v>Sul</x:v>
      </x:c>
      <x:c r="G33" s="18" t="str">
        <x:v>Não informada</x:v>
      </x:c>
      <x:c r="H33" s="21" t="n">
        <x:v>46146.79652777778</x:v>
      </x:c>
      <x:c r="I33" s="24" t="n">
        <x:f>ROUND((H33-B33)*1440,0)</x:f>
        <x:v>564</x:v>
      </x:c>
      <x:c r="J33" s="24" t="n">
        <x:f>IF(I33&gt;240,1,0)</x:f>
        <x:v>1</x:v>
      </x:c>
      <x:c r="K33" s="24" t="n">
        <x:f>IF(AND(D33&lt;&gt;"",E33&lt;&gt;"",F33&lt;&gt;""),1,0)</x:f>
        <x:v>0</x:v>
      </x:c>
      <x:c r="L33" s="27" t="str">
        <x:v>Campo importante ausente na entrada sintética.</x:v>
      </x:c>
    </x:row>
    <x:row r="34">
      <x:c r="A34" s="18" t="str">
        <x:v>CT033</x:v>
      </x:c>
      <x:c r="B34" s="21" t="n">
        <x:v>46147.455555555556</x:v>
      </x:c>
      <x:c r="C34" s="18" t="str">
        <x:v>Formulário</x:v>
      </x:c>
      <x:c r="D34" s="18" t="str">
        <x:v>CL033</x:v>
      </x:c>
      <x:c r="E34" s="18" t="str">
        <x:v>Elétrica leve</x:v>
      </x:c>
      <x:c r="F34" s="18" t="str"/>
      <x:c r="G34" s="18" t="str">
        <x:v>Baixa</x:v>
      </x:c>
      <x:c r="H34" s="21" t="n">
        <x:v>46147.56875</x:v>
      </x:c>
      <x:c r="I34" s="24" t="n">
        <x:f>ROUND((H34-B34)*1440,0)</x:f>
        <x:v>163</x:v>
      </x:c>
      <x:c r="J34" s="24" t="n">
        <x:f>IF(I34&gt;240,1,0)</x:f>
        <x:v>0</x:v>
      </x:c>
      <x:c r="K34" s="24" t="n">
        <x:f>IF(AND(D34&lt;&gt;"",E34&lt;&gt;"",F34&lt;&gt;""),1,0)</x:f>
        <x:v>0</x:v>
      </x:c>
      <x:c r="L34" s="27" t="str">
        <x:v>Campo importante ausente na entrada sintética.</x:v>
      </x:c>
    </x:row>
    <x:row r="35">
      <x:c r="A35" s="18" t="str">
        <x:v>CT034</x:v>
      </x:c>
      <x:c r="B35" s="21" t="n">
        <x:v>46148.464583333334</x:v>
      </x:c>
      <x:c r="C35" s="18" t="str">
        <x:v>Mensageria</x:v>
      </x:c>
      <x:c r="D35" s="18" t="str"/>
      <x:c r="E35" s="18" t="str">
        <x:v>Climatização</x:v>
      </x:c>
      <x:c r="F35" s="18" t="str">
        <x:v>Oeste</x:v>
      </x:c>
      <x:c r="G35" s="18" t="str">
        <x:v>Média</x:v>
      </x:c>
      <x:c r="H35" s="21" t="n">
        <x:v>46148.62986111111</x:v>
      </x:c>
      <x:c r="I35" s="24" t="n">
        <x:f>ROUND((H35-B35)*1440,0)</x:f>
        <x:v>238</x:v>
      </x:c>
      <x:c r="J35" s="24" t="n">
        <x:f>IF(I35&gt;240,1,0)</x:f>
        <x:v>0</x:v>
      </x:c>
      <x:c r="K35" s="24" t="n">
        <x:f>IF(AND(D35&lt;&gt;"",E35&lt;&gt;"",F35&lt;&gt;""),1,0)</x:f>
        <x:v>0</x:v>
      </x:c>
      <x:c r="L35" s="27" t="str">
        <x:v>Campo importante ausente na entrada sintética.</x:v>
      </x:c>
    </x:row>
    <x:row r="36">
      <x:c r="A36" s="18" t="str">
        <x:v>CT035</x:v>
      </x:c>
      <x:c r="B36" s="21" t="n">
        <x:v>46149.51527777778</x:v>
      </x:c>
      <x:c r="C36" s="18" t="str">
        <x:v>Telefone</x:v>
      </x:c>
      <x:c r="D36" s="18" t="str">
        <x:v>CL035</x:v>
      </x:c>
      <x:c r="E36" s="18" t="str"/>
      <x:c r="F36" s="18" t="str">
        <x:v>Centro</x:v>
      </x:c>
      <x:c r="G36" s="18" t="str">
        <x:v>Alta</x:v>
      </x:c>
      <x:c r="H36" s="21" t="n">
        <x:v>46149.55972222222</x:v>
      </x:c>
      <x:c r="I36" s="24" t="n">
        <x:f>ROUND((H36-B36)*1440,0)</x:f>
        <x:v>64</x:v>
      </x:c>
      <x:c r="J36" s="24" t="n">
        <x:f>IF(I36&gt;240,1,0)</x:f>
        <x:v>0</x:v>
      </x:c>
      <x:c r="K36" s="24" t="n">
        <x:f>IF(AND(D36&lt;&gt;"",E36&lt;&gt;"",F36&lt;&gt;""),1,0)</x:f>
        <x:v>0</x:v>
      </x:c>
      <x:c r="L36" s="27" t="str">
        <x:v>Campo importante ausente na entrada sintética.</x:v>
      </x:c>
    </x:row>
    <x:row r="37">
      <x:c r="A37" s="18" t="str">
        <x:v>CT036</x:v>
      </x:c>
      <x:c r="B37" s="21" t="n">
        <x:v>46150.56597222222</x:v>
      </x:c>
      <x:c r="C37" s="18" t="str">
        <x:v>Indicação</x:v>
      </x:c>
      <x:c r="D37" s="18" t="str">
        <x:v>CL036</x:v>
      </x:c>
      <x:c r="E37" s="18" t="str">
        <x:v>Hidráulica leve</x:v>
      </x:c>
      <x:c r="F37" s="18" t="str"/>
      <x:c r="G37" s="18" t="str">
        <x:v>Não informada</x:v>
      </x:c>
      <x:c r="H37" s="21" t="n">
        <x:v>46150.71666666667</x:v>
      </x:c>
      <x:c r="I37" s="24" t="n">
        <x:f>ROUND((H37-B37)*1440,0)</x:f>
        <x:v>217</x:v>
      </x:c>
      <x:c r="J37" s="24" t="n">
        <x:f>IF(I37&gt;240,1,0)</x:f>
        <x:v>0</x:v>
      </x:c>
      <x:c r="K37" s="24" t="n">
        <x:f>IF(AND(D37&lt;&gt;"",E37&lt;&gt;"",F37&lt;&gt;""),1,0)</x:f>
        <x:v>0</x:v>
      </x:c>
      <x:c r="L37" s="27" t="str">
        <x:v>Campo importante ausente na entrada sintética.</x:v>
      </x:c>
    </x:row>
    <x:row r="38">
      <x:c r="A38" s="18" t="str">
        <x:v>CT037</x:v>
      </x:c>
      <x:c r="B38" s="21" t="n">
        <x:v>46151.61666666667</x:v>
      </x:c>
      <x:c r="C38" s="18" t="str">
        <x:v>Formulário</x:v>
      </x:c>
      <x:c r="D38" s="18" t="str"/>
      <x:c r="E38" s="18" t="str">
        <x:v>Elétrica leve</x:v>
      </x:c>
      <x:c r="F38" s="18" t="str">
        <x:v>Sul</x:v>
      </x:c>
      <x:c r="G38" s="18" t="str">
        <x:v>Baixa</x:v>
      </x:c>
      <x:c r="H38" s="21" t="n">
        <x:v>46151.77916666667</x:v>
      </x:c>
      <x:c r="I38" s="24" t="n">
        <x:f>ROUND((H38-B38)*1440,0)</x:f>
        <x:v>234</x:v>
      </x:c>
      <x:c r="J38" s="24" t="n">
        <x:f>IF(I38&gt;240,1,0)</x:f>
        <x:v>0</x:v>
      </x:c>
      <x:c r="K38" s="24" t="n">
        <x:f>IF(AND(D38&lt;&gt;"",E38&lt;&gt;"",F38&lt;&gt;""),1,0)</x:f>
        <x:v>0</x:v>
      </x:c>
      <x:c r="L38" s="27" t="str">
        <x:v>Campo importante ausente na entrada sintética.</x:v>
      </x:c>
    </x:row>
    <x:row r="39">
      <x:c r="A39" s="18" t="str">
        <x:v>CT038</x:v>
      </x:c>
      <x:c r="B39" s="21" t="n">
        <x:v>46152.62569444445</x:v>
      </x:c>
      <x:c r="C39" s="18" t="str">
        <x:v>Mensageria</x:v>
      </x:c>
      <x:c r="D39" s="18" t="str">
        <x:v>CL038</x:v>
      </x:c>
      <x:c r="E39" s="18" t="str"/>
      <x:c r="F39" s="18" t="str">
        <x:v>Leste</x:v>
      </x:c>
      <x:c r="G39" s="18" t="str">
        <x:v>Média</x:v>
      </x:c>
      <x:c r="H39" s="21" t="n">
        <x:v>46152.7875</x:v>
      </x:c>
      <x:c r="I39" s="24" t="n">
        <x:f>ROUND((H39-B39)*1440,0)</x:f>
        <x:v>233</x:v>
      </x:c>
      <x:c r="J39" s="24" t="n">
        <x:f>IF(I39&gt;240,1,0)</x:f>
        <x:v>0</x:v>
      </x:c>
      <x:c r="K39" s="24" t="n">
        <x:f>IF(AND(D39&lt;&gt;"",E39&lt;&gt;"",F39&lt;&gt;""),1,0)</x:f>
        <x:v>0</x:v>
      </x:c>
      <x:c r="L39" s="27" t="str">
        <x:v>Campo importante ausente na entrada sintética.</x:v>
      </x:c>
    </x:row>
    <x:row r="40">
      <x:c r="A40" s="18" t="str">
        <x:v>CT039</x:v>
      </x:c>
      <x:c r="B40" s="21" t="n">
        <x:v>46153.67638888889</x:v>
      </x:c>
      <x:c r="C40" s="18" t="str">
        <x:v>Telefone</x:v>
      </x:c>
      <x:c r="D40" s="18" t="str">
        <x:v>CL039</x:v>
      </x:c>
      <x:c r="E40" s="18" t="str">
        <x:v>Refrigeração</x:v>
      </x:c>
      <x:c r="F40" s="18" t="str"/>
      <x:c r="G40" s="18" t="str">
        <x:v>Alta</x:v>
      </x:c>
      <x:c r="H40" s="21" t="n">
        <x:v>46153.73333333333</x:v>
      </x:c>
      <x:c r="I40" s="24" t="n">
        <x:f>ROUND((H40-B40)*1440,0)</x:f>
        <x:v>82</x:v>
      </x:c>
      <x:c r="J40" s="24" t="n">
        <x:f>IF(I40&gt;240,1,0)</x:f>
        <x:v>0</x:v>
      </x:c>
      <x:c r="K40" s="24" t="n">
        <x:f>IF(AND(D40&lt;&gt;"",E40&lt;&gt;"",F40&lt;&gt;""),1,0)</x:f>
        <x:v>0</x:v>
      </x:c>
      <x:c r="L40" s="27" t="str">
        <x:v>Campo importante ausente na entrada sintética.</x:v>
      </x:c>
    </x:row>
    <x:row r="41">
      <x:c r="A41" s="18" t="str">
        <x:v>CT040</x:v>
      </x:c>
      <x:c r="B41" s="21" t="n">
        <x:v>46154.72708333333</x:v>
      </x:c>
      <x:c r="C41" s="18" t="str">
        <x:v>Indicação</x:v>
      </x:c>
      <x:c r="D41" s="18" t="str"/>
      <x:c r="E41" s="18" t="str">
        <x:v>Hidráulica leve</x:v>
      </x:c>
      <x:c r="F41" s="18" t="str">
        <x:v>Centro</x:v>
      </x:c>
      <x:c r="G41" s="18" t="str">
        <x:v>Não informada</x:v>
      </x:c>
      <x:c r="H41" s="21" t="n">
        <x:v>46154.81805555556</x:v>
      </x:c>
      <x:c r="I41" s="24" t="n">
        <x:f>ROUND((H41-B41)*1440,0)</x:f>
        <x:v>131</x:v>
      </x:c>
      <x:c r="J41" s="24" t="n">
        <x:f>IF(I41&gt;240,1,0)</x:f>
        <x:v>0</x:v>
      </x:c>
      <x:c r="K41" s="24" t="n">
        <x:f>IF(AND(D41&lt;&gt;"",E41&lt;&gt;"",F41&lt;&gt;""),1,0)</x:f>
        <x:v>0</x:v>
      </x:c>
      <x:c r="L41" s="27" t="str">
        <x:v>Campo importante ausente na entrada sintética.</x:v>
      </x:c>
    </x:row>
    <x:row r="42">
      <x:c r="A42" s="18" t="str">
        <x:v>CT041</x:v>
      </x:c>
      <x:c r="B42" s="21" t="n">
        <x:v>46155.36111111111</x:v>
      </x:c>
      <x:c r="C42" s="18" t="str">
        <x:v>Formulário</x:v>
      </x:c>
      <x:c r="D42" s="18" t="str">
        <x:v>CL041</x:v>
      </x:c>
      <x:c r="E42" s="18" t="str"/>
      <x:c r="F42" s="18" t="str">
        <x:v>Norte</x:v>
      </x:c>
      <x:c r="G42" s="18" t="str">
        <x:v>Baixa</x:v>
      </x:c>
      <x:c r="H42" s="21" t="n">
        <x:v>46155.51736111111</x:v>
      </x:c>
      <x:c r="I42" s="24" t="n">
        <x:f>ROUND((H42-B42)*1440,0)</x:f>
        <x:v>225</x:v>
      </x:c>
      <x:c r="J42" s="24" t="n">
        <x:f>IF(I42&gt;240,1,0)</x:f>
        <x:v>0</x:v>
      </x:c>
      <x:c r="K42" s="24" t="n">
        <x:f>IF(AND(D42&lt;&gt;"",E42&lt;&gt;"",F42&lt;&gt;""),1,0)</x:f>
        <x:v>0</x:v>
      </x:c>
      <x:c r="L42" s="27" t="str">
        <x:v>Campo importante ausente na entrada sintética.</x:v>
      </x:c>
    </x:row>
    <x:row r="43">
      <x:c r="A43" s="18" t="str">
        <x:v>CT042</x:v>
      </x:c>
      <x:c r="B43" s="21" t="n">
        <x:v>46156.41180555556</x:v>
      </x:c>
      <x:c r="C43" s="18" t="str">
        <x:v>Mensageria</x:v>
      </x:c>
      <x:c r="D43" s="18" t="str">
        <x:v>CL042</x:v>
      </x:c>
      <x:c r="E43" s="18" t="str">
        <x:v>Climatização</x:v>
      </x:c>
      <x:c r="F43" s="18" t="str"/>
      <x:c r="G43" s="18" t="str">
        <x:v>Média</x:v>
      </x:c>
      <x:c r="H43" s="21" t="n">
        <x:v>46156.825</x:v>
      </x:c>
      <x:c r="I43" s="24" t="n">
        <x:f>ROUND((H43-B43)*1440,0)</x:f>
        <x:v>595</x:v>
      </x:c>
      <x:c r="J43" s="24" t="n">
        <x:f>IF(I43&gt;240,1,0)</x:f>
        <x:v>1</x:v>
      </x:c>
      <x:c r="K43" s="24" t="n">
        <x:f>IF(AND(D43&lt;&gt;"",E43&lt;&gt;"",F43&lt;&gt;""),1,0)</x:f>
        <x:v>0</x:v>
      </x:c>
      <x:c r="L43" s="27" t="str">
        <x:v>Campo importante ausente na entrada sintética.</x:v>
      </x:c>
    </x:row>
    <x:row r="44">
      <x:c r="A44" s="18" t="str">
        <x:v>CT043</x:v>
      </x:c>
      <x:c r="B44" s="21" t="n">
        <x:v>46157.42083333333</x:v>
      </x:c>
      <x:c r="C44" s="18" t="str">
        <x:v>Telefone</x:v>
      </x:c>
      <x:c r="D44" s="18" t="str"/>
      <x:c r="E44" s="18" t="str">
        <x:v>Refrigeração</x:v>
      </x:c>
      <x:c r="F44" s="18" t="str">
        <x:v>Leste</x:v>
      </x:c>
      <x:c r="G44" s="18" t="str">
        <x:v>Alta</x:v>
      </x:c>
      <x:c r="H44" s="21" t="n">
        <x:v>46157.58611111111</x:v>
      </x:c>
      <x:c r="I44" s="24" t="n">
        <x:f>ROUND((H44-B44)*1440,0)</x:f>
        <x:v>238</x:v>
      </x:c>
      <x:c r="J44" s="24" t="n">
        <x:f>IF(I44&gt;240,1,0)</x:f>
        <x:v>0</x:v>
      </x:c>
      <x:c r="K44" s="24" t="n">
        <x:f>IF(AND(D44&lt;&gt;"",E44&lt;&gt;"",F44&lt;&gt;""),1,0)</x:f>
        <x:v>0</x:v>
      </x:c>
      <x:c r="L44" s="27" t="str">
        <x:v>Campo importante ausente na entrada sintética.</x:v>
      </x:c>
    </x:row>
    <x:row r="45">
      <x:c r="A45" s="18" t="str">
        <x:v>CT044</x:v>
      </x:c>
      <x:c r="B45" s="21" t="n">
        <x:v>46158.47152777778</x:v>
      </x:c>
      <x:c r="C45" s="18" t="str">
        <x:v>Indicação</x:v>
      </x:c>
      <x:c r="D45" s="18" t="str">
        <x:v>CL044</x:v>
      </x:c>
      <x:c r="E45" s="18" t="str"/>
      <x:c r="F45" s="18" t="str">
        <x:v>Oeste</x:v>
      </x:c>
      <x:c r="G45" s="18" t="str">
        <x:v>Não informada</x:v>
      </x:c>
      <x:c r="H45" s="21" t="n">
        <x:v>46158.51111111111</x:v>
      </x:c>
      <x:c r="I45" s="24" t="n">
        <x:f>ROUND((H45-B45)*1440,0)</x:f>
        <x:v>57</x:v>
      </x:c>
      <x:c r="J45" s="24" t="n">
        <x:f>IF(I45&gt;240,1,0)</x:f>
        <x:v>0</x:v>
      </x:c>
      <x:c r="K45" s="24" t="n">
        <x:f>IF(AND(D45&lt;&gt;"",E45&lt;&gt;"",F45&lt;&gt;""),1,0)</x:f>
        <x:v>0</x:v>
      </x:c>
      <x:c r="L45" s="27" t="str">
        <x:v>Campo importante ausente na entrada sintética.</x:v>
      </x:c>
    </x:row>
    <x:row r="46">
      <x:c r="A46" s="18" t="str">
        <x:v>CT045</x:v>
      </x:c>
      <x:c r="B46" s="21" t="n">
        <x:v>46159.52222222222</x:v>
      </x:c>
      <x:c r="C46" s="18" t="str">
        <x:v>Formulário</x:v>
      </x:c>
      <x:c r="D46" s="18" t="str">
        <x:v>CL045</x:v>
      </x:c>
      <x:c r="E46" s="18" t="str">
        <x:v>Elétrica leve</x:v>
      </x:c>
      <x:c r="F46" s="18" t="str"/>
      <x:c r="G46" s="18" t="str">
        <x:v>Baixa</x:v>
      </x:c>
      <x:c r="H46" s="21" t="n">
        <x:v>46159.59861111111</x:v>
      </x:c>
      <x:c r="I46" s="24" t="n">
        <x:f>ROUND((H46-B46)*1440,0)</x:f>
        <x:v>110</x:v>
      </x:c>
      <x:c r="J46" s="24" t="n">
        <x:f>IF(I46&gt;240,1,0)</x:f>
        <x:v>0</x:v>
      </x:c>
      <x:c r="K46" s="24" t="n">
        <x:f>IF(AND(D46&lt;&gt;"",E46&lt;&gt;"",F46&lt;&gt;""),1,0)</x:f>
        <x:v>0</x:v>
      </x:c>
      <x:c r="L46" s="27" t="str">
        <x:v>Campo importante ausente na entrada sintética.</x:v>
      </x:c>
    </x:row>
    <x:row r="47">
      <x:c r="A47" s="18" t="str">
        <x:v>CT046</x:v>
      </x:c>
      <x:c r="B47" s="21" t="n">
        <x:v>46160.572916666664</x:v>
      </x:c>
      <x:c r="C47" s="18" t="str">
        <x:v>Mensageria</x:v>
      </x:c>
      <x:c r="D47" s="18" t="str"/>
      <x:c r="E47" s="18" t="str">
        <x:v>Climatização</x:v>
      </x:c>
      <x:c r="F47" s="18" t="str">
        <x:v>Norte</x:v>
      </x:c>
      <x:c r="G47" s="18" t="str">
        <x:v>Média</x:v>
      </x:c>
      <x:c r="H47" s="21" t="n">
        <x:v>46160.68125</x:v>
      </x:c>
      <x:c r="I47" s="24" t="n">
        <x:f>ROUND((H47-B47)*1440,0)</x:f>
        <x:v>156</x:v>
      </x:c>
      <x:c r="J47" s="24" t="n">
        <x:f>IF(I47&gt;240,1,0)</x:f>
        <x:v>0</x:v>
      </x:c>
      <x:c r="K47" s="24" t="n">
        <x:f>IF(AND(D47&lt;&gt;"",E47&lt;&gt;"",F47&lt;&gt;""),1,0)</x:f>
        <x:v>0</x:v>
      </x:c>
      <x:c r="L47" s="27" t="str">
        <x:v>Campo importante ausente na entrada sintética.</x:v>
      </x:c>
    </x:row>
    <x:row r="48">
      <x:c r="A48" s="18" t="str">
        <x:v>CT047</x:v>
      </x:c>
      <x:c r="B48" s="21" t="n">
        <x:v>46161.623611111114</x:v>
      </x:c>
      <x:c r="C48" s="18" t="str">
        <x:v>Telefone</x:v>
      </x:c>
      <x:c r="D48" s="18" t="str">
        <x:v>CL047</x:v>
      </x:c>
      <x:c r="E48" s="18" t="str"/>
      <x:c r="F48" s="18" t="str">
        <x:v>Sul</x:v>
      </x:c>
      <x:c r="G48" s="18" t="str">
        <x:v>Alta</x:v>
      </x:c>
      <x:c r="H48" s="21" t="n">
        <x:v>46161.73333333333</x:v>
      </x:c>
      <x:c r="I48" s="24" t="n">
        <x:f>ROUND((H48-B48)*1440,0)</x:f>
        <x:v>158</x:v>
      </x:c>
      <x:c r="J48" s="24" t="n">
        <x:f>IF(I48&gt;240,1,0)</x:f>
        <x:v>0</x:v>
      </x:c>
      <x:c r="K48" s="24" t="n">
        <x:f>IF(AND(D48&lt;&gt;"",E48&lt;&gt;"",F48&lt;&gt;""),1,0)</x:f>
        <x:v>0</x:v>
      </x:c>
      <x:c r="L48" s="27" t="str">
        <x:v>Campo importante ausente na entrada sintética.</x:v>
      </x:c>
    </x:row>
    <x:row r="49">
      <x:c r="A49" s="18" t="str">
        <x:v>CT048</x:v>
      </x:c>
      <x:c r="B49" s="21" t="n">
        <x:v>46162.63263888889</x:v>
      </x:c>
      <x:c r="C49" s="18" t="str">
        <x:v>Indicação</x:v>
      </x:c>
      <x:c r="D49" s="18" t="str">
        <x:v>CL048</x:v>
      </x:c>
      <x:c r="E49" s="18" t="str">
        <x:v>Hidráulica leve</x:v>
      </x:c>
      <x:c r="F49" s="18" t="str"/>
      <x:c r="G49" s="18" t="str">
        <x:v>Não informada</x:v>
      </x:c>
      <x:c r="H49" s="21" t="n">
        <x:v>46162.90625</x:v>
      </x:c>
      <x:c r="I49" s="24" t="n">
        <x:f>ROUND((H49-B49)*1440,0)</x:f>
        <x:v>394</x:v>
      </x:c>
      <x:c r="J49" s="24" t="n">
        <x:f>IF(I49&gt;240,1,0)</x:f>
        <x:v>1</x:v>
      </x:c>
      <x:c r="K49" s="24" t="n">
        <x:f>IF(AND(D49&lt;&gt;"",E49&lt;&gt;"",F49&lt;&gt;""),1,0)</x:f>
        <x:v>0</x:v>
      </x:c>
      <x:c r="L49" s="27" t="str">
        <x:v>Campo importante ausente na entrada sintética.</x:v>
      </x:c>
    </x:row>
    <x:row r="50">
      <x:c r="A50" s="18" t="str">
        <x:v>CT049</x:v>
      </x:c>
      <x:c r="B50" s="21" t="n">
        <x:v>46163.683333333334</x:v>
      </x:c>
      <x:c r="C50" s="18" t="str">
        <x:v>Formulário</x:v>
      </x:c>
      <x:c r="D50" s="18" t="str"/>
      <x:c r="E50" s="18" t="str">
        <x:v>Elétrica leve</x:v>
      </x:c>
      <x:c r="F50" s="18" t="str">
        <x:v>Oeste</x:v>
      </x:c>
      <x:c r="G50" s="18" t="str">
        <x:v>Baixa</x:v>
      </x:c>
      <x:c r="H50" s="21" t="n">
        <x:v>46163.842361111114</x:v>
      </x:c>
      <x:c r="I50" s="24" t="n">
        <x:f>ROUND((H50-B50)*1440,0)</x:f>
        <x:v>229</x:v>
      </x:c>
      <x:c r="J50" s="24" t="n">
        <x:f>IF(I50&gt;240,1,0)</x:f>
        <x:v>0</x:v>
      </x:c>
      <x:c r="K50" s="24" t="n">
        <x:f>IF(AND(D50&lt;&gt;"",E50&lt;&gt;"",F50&lt;&gt;""),1,0)</x:f>
        <x:v>0</x:v>
      </x:c>
      <x:c r="L50" s="27" t="str">
        <x:v>Campo importante ausente na entrada sintética.</x:v>
      </x:c>
    </x:row>
    <x:row r="51">
      <x:c r="A51" s="18" t="str">
        <x:v>CT050</x:v>
      </x:c>
      <x:c r="B51" s="21" t="n">
        <x:v>46164.73402777778</x:v>
      </x:c>
      <x:c r="C51" s="18" t="str">
        <x:v>Mensageria</x:v>
      </x:c>
      <x:c r="D51" s="18" t="str">
        <x:v>CL050</x:v>
      </x:c>
      <x:c r="E51" s="18" t="str"/>
      <x:c r="F51" s="18" t="str">
        <x:v>Centro</x:v>
      </x:c>
      <x:c r="G51" s="18" t="str">
        <x:v>Média</x:v>
      </x:c>
      <x:c r="H51" s="21" t="n">
        <x:v>46164.80972222222</x:v>
      </x:c>
      <x:c r="I51" s="24" t="n">
        <x:f>ROUND((H51-B51)*1440,0)</x:f>
        <x:v>109</x:v>
      </x:c>
      <x:c r="J51" s="24" t="n">
        <x:f>IF(I51&gt;240,1,0)</x:f>
        <x:v>0</x:v>
      </x:c>
      <x:c r="K51" s="24" t="n">
        <x:f>IF(AND(D51&lt;&gt;"",E51&lt;&gt;"",F51&lt;&gt;""),1,0)</x:f>
        <x:v>0</x:v>
      </x:c>
      <x:c r="L51" s="27" t="str">
        <x:v>Campo importante ausente na entrada sintética.</x:v>
      </x:c>
    </x:row>
    <x:row r="52">
      <x:c r="A52" s="18" t="str">
        <x:v>CT051</x:v>
      </x:c>
      <x:c r="B52" s="21" t="n">
        <x:v>46165.368055555555</x:v>
      </x:c>
      <x:c r="C52" s="18" t="str">
        <x:v>Telefone</x:v>
      </x:c>
      <x:c r="D52" s="18" t="str">
        <x:v>CL051</x:v>
      </x:c>
      <x:c r="E52" s="18" t="str">
        <x:v>Refrigeração</x:v>
      </x:c>
      <x:c r="F52" s="18" t="str"/>
      <x:c r="G52" s="18" t="str">
        <x:v>Alta</x:v>
      </x:c>
      <x:c r="H52" s="21" t="n">
        <x:v>46165.447222222225</x:v>
      </x:c>
      <x:c r="I52" s="24" t="n">
        <x:f>ROUND((H52-B52)*1440,0)</x:f>
        <x:v>114</x:v>
      </x:c>
      <x:c r="J52" s="24" t="n">
        <x:f>IF(I52&gt;240,1,0)</x:f>
        <x:v>0</x:v>
      </x:c>
      <x:c r="K52" s="24" t="n">
        <x:f>IF(AND(D52&lt;&gt;"",E52&lt;&gt;"",F52&lt;&gt;""),1,0)</x:f>
        <x:v>0</x:v>
      </x:c>
      <x:c r="L52" s="27" t="str">
        <x:v>Campo importante ausente na entrada sintética.</x:v>
      </x:c>
    </x:row>
    <x:row r="53">
      <x:c r="A53" s="18" t="str">
        <x:v>CT052</x:v>
      </x:c>
      <x:c r="B53" s="21" t="n">
        <x:v>46166.37708333333</x:v>
      </x:c>
      <x:c r="C53" s="18" t="str">
        <x:v>Indicação</x:v>
      </x:c>
      <x:c r="D53" s="18" t="str"/>
      <x:c r="E53" s="18" t="str">
        <x:v>Hidráulica leve</x:v>
      </x:c>
      <x:c r="F53" s="18" t="str">
        <x:v>Sul</x:v>
      </x:c>
      <x:c r="G53" s="18" t="str">
        <x:v>Não informada</x:v>
      </x:c>
      <x:c r="H53" s="21" t="n">
        <x:v>46166.53611111111</x:v>
      </x:c>
      <x:c r="I53" s="24" t="n">
        <x:f>ROUND((H53-B53)*1440,0)</x:f>
        <x:v>229</x:v>
      </x:c>
      <x:c r="J53" s="24" t="n">
        <x:f>IF(I53&gt;240,1,0)</x:f>
        <x:v>0</x:v>
      </x:c>
      <x:c r="K53" s="24" t="n">
        <x:f>IF(AND(D53&lt;&gt;"",E53&lt;&gt;"",F53&lt;&gt;""),1,0)</x:f>
        <x:v>0</x:v>
      </x:c>
      <x:c r="L53" s="27" t="str">
        <x:v>Campo importante ausente na entrada sintética.</x:v>
      </x:c>
    </x:row>
    <x:row r="54">
      <x:c r="A54" s="18" t="str">
        <x:v>CT053</x:v>
      </x:c>
      <x:c r="B54" s="21" t="n">
        <x:v>46167.427777777775</x:v>
      </x:c>
      <x:c r="C54" s="18" t="str">
        <x:v>Formulário</x:v>
      </x:c>
      <x:c r="D54" s="18" t="str">
        <x:v>CL053</x:v>
      </x:c>
      <x:c r="E54" s="18" t="str"/>
      <x:c r="F54" s="18" t="str">
        <x:v>Leste</x:v>
      </x:c>
      <x:c r="G54" s="18" t="str">
        <x:v>Baixa</x:v>
      </x:c>
      <x:c r="H54" s="21" t="n">
        <x:v>46167.493055555555</x:v>
      </x:c>
      <x:c r="I54" s="24" t="n">
        <x:f>ROUND((H54-B54)*1440,0)</x:f>
        <x:v>94</x:v>
      </x:c>
      <x:c r="J54" s="24" t="n">
        <x:f>IF(I54&gt;240,1,0)</x:f>
        <x:v>0</x:v>
      </x:c>
      <x:c r="K54" s="24" t="n">
        <x:f>IF(AND(D54&lt;&gt;"",E54&lt;&gt;"",F54&lt;&gt;""),1,0)</x:f>
        <x:v>0</x:v>
      </x:c>
      <x:c r="L54" s="27" t="str">
        <x:v>Campo importante ausente na entrada sintética.</x:v>
      </x:c>
    </x:row>
    <x:row r="55">
      <x:c r="A55" s="18" t="str">
        <x:v>CT054</x:v>
      </x:c>
      <x:c r="B55" s="21" t="n">
        <x:v>46168.478472222225</x:v>
      </x:c>
      <x:c r="C55" s="18" t="str">
        <x:v>Mensageria</x:v>
      </x:c>
      <x:c r="D55" s="18" t="str">
        <x:v>CL054</x:v>
      </x:c>
      <x:c r="E55" s="18" t="str">
        <x:v>Climatização</x:v>
      </x:c>
      <x:c r="F55" s="18" t="str"/>
      <x:c r="G55" s="18" t="str">
        <x:v>Média</x:v>
      </x:c>
      <x:c r="H55" s="21" t="n">
        <x:v>46168.600694444445</x:v>
      </x:c>
      <x:c r="I55" s="24" t="n">
        <x:f>ROUND((H55-B55)*1440,0)</x:f>
        <x:v>176</x:v>
      </x:c>
      <x:c r="J55" s="24" t="n">
        <x:f>IF(I55&gt;240,1,0)</x:f>
        <x:v>0</x:v>
      </x:c>
      <x:c r="K55" s="24" t="n">
        <x:f>IF(AND(D55&lt;&gt;"",E55&lt;&gt;"",F55&lt;&gt;""),1,0)</x:f>
        <x:v>0</x:v>
      </x:c>
      <x:c r="L55" s="27" t="str">
        <x:v>Campo importante ausente na entrada sintética.</x:v>
      </x:c>
    </x:row>
    <x:row r="56">
      <x:c r="A56" s="18" t="str">
        <x:v>CT055</x:v>
      </x:c>
      <x:c r="B56" s="21" t="n">
        <x:v>46169.52916666667</x:v>
      </x:c>
      <x:c r="C56" s="18" t="str">
        <x:v>Telefone</x:v>
      </x:c>
      <x:c r="D56" s="18" t="str"/>
      <x:c r="E56" s="18" t="str">
        <x:v>Refrigeração</x:v>
      </x:c>
      <x:c r="F56" s="18" t="str">
        <x:v>Centro</x:v>
      </x:c>
      <x:c r="G56" s="18" t="str">
        <x:v>Alta</x:v>
      </x:c>
      <x:c r="H56" s="21" t="n">
        <x:v>46169.85486111111</x:v>
      </x:c>
      <x:c r="I56" s="24" t="n">
        <x:f>ROUND((H56-B56)*1440,0)</x:f>
        <x:v>469</x:v>
      </x:c>
      <x:c r="J56" s="24" t="n">
        <x:f>IF(I56&gt;240,1,0)</x:f>
        <x:v>1</x:v>
      </x:c>
      <x:c r="K56" s="24" t="n">
        <x:f>IF(AND(D56&lt;&gt;"",E56&lt;&gt;"",F56&lt;&gt;""),1,0)</x:f>
        <x:v>0</x:v>
      </x:c>
      <x:c r="L56" s="27" t="str">
        <x:v>Campo importante ausente na entrada sintética.</x:v>
      </x:c>
    </x:row>
    <x:row r="57">
      <x:c r="A57" s="18" t="str">
        <x:v>CT056</x:v>
      </x:c>
      <x:c r="B57" s="21" t="n">
        <x:v>46170.57986111111</x:v>
      </x:c>
      <x:c r="C57" s="18" t="str">
        <x:v>Indicação</x:v>
      </x:c>
      <x:c r="D57" s="18" t="str">
        <x:v>CL056</x:v>
      </x:c>
      <x:c r="E57" s="18" t="str"/>
      <x:c r="F57" s="18" t="str">
        <x:v>Norte</x:v>
      </x:c>
      <x:c r="G57" s="18" t="str">
        <x:v>Não informada</x:v>
      </x:c>
      <x:c r="H57" s="21" t="n">
        <x:v>46170.74513888889</x:v>
      </x:c>
      <x:c r="I57" s="24" t="n">
        <x:f>ROUND((H57-B57)*1440,0)</x:f>
        <x:v>238</x:v>
      </x:c>
      <x:c r="J57" s="24" t="n">
        <x:f>IF(I57&gt;240,1,0)</x:f>
        <x:v>0</x:v>
      </x:c>
      <x:c r="K57" s="24" t="n">
        <x:f>IF(AND(D57&lt;&gt;"",E57&lt;&gt;"",F57&lt;&gt;""),1,0)</x:f>
        <x:v>0</x:v>
      </x:c>
      <x:c r="L57" s="27" t="str">
        <x:v>Campo importante ausente na entrada sintética.</x:v>
      </x:c>
    </x:row>
    <x:row r="58">
      <x:c r="A58" s="18" t="str">
        <x:v>CT057</x:v>
      </x:c>
      <x:c r="B58" s="21" t="n">
        <x:v>46143.58888888889</x:v>
      </x:c>
      <x:c r="C58" s="18" t="str">
        <x:v>Formulário</x:v>
      </x:c>
      <x:c r="D58" s="18" t="str">
        <x:v>CL057</x:v>
      </x:c>
      <x:c r="E58" s="18" t="str">
        <x:v>Elétrica leve</x:v>
      </x:c>
      <x:c r="F58" s="18" t="str"/>
      <x:c r="G58" s="18" t="str">
        <x:v>Baixa</x:v>
      </x:c>
      <x:c r="H58" s="21" t="n">
        <x:v>46143.78888888889</x:v>
      </x:c>
      <x:c r="I58" s="24" t="n">
        <x:f>ROUND((H58-B58)*1440,0)</x:f>
        <x:v>288</x:v>
      </x:c>
      <x:c r="J58" s="24" t="n">
        <x:f>IF(I58&gt;240,1,0)</x:f>
        <x:v>1</x:v>
      </x:c>
      <x:c r="K58" s="24" t="n">
        <x:f>IF(AND(D58&lt;&gt;"",E58&lt;&gt;"",F58&lt;&gt;""),1,0)</x:f>
        <x:v>0</x:v>
      </x:c>
      <x:c r="L58" s="27" t="str">
        <x:v>Campo importante ausente na entrada sintética.</x:v>
      </x:c>
    </x:row>
    <x:row r="59">
      <x:c r="A59" s="18" t="str">
        <x:v>CT058</x:v>
      </x:c>
      <x:c r="B59" s="21" t="n">
        <x:v>46144.63958333333</x:v>
      </x:c>
      <x:c r="C59" s="18" t="str">
        <x:v>Mensageria</x:v>
      </x:c>
      <x:c r="D59" s="18" t="str"/>
      <x:c r="E59" s="18" t="str">
        <x:v>Climatização</x:v>
      </x:c>
      <x:c r="F59" s="18" t="str">
        <x:v>Leste</x:v>
      </x:c>
      <x:c r="G59" s="18" t="str">
        <x:v>Média</x:v>
      </x:c>
      <x:c r="H59" s="21" t="n">
        <x:v>46144.775</x:v>
      </x:c>
      <x:c r="I59" s="24" t="n">
        <x:f>ROUND((H59-B59)*1440,0)</x:f>
        <x:v>195</x:v>
      </x:c>
      <x:c r="J59" s="24" t="n">
        <x:f>IF(I59&gt;240,1,0)</x:f>
        <x:v>0</x:v>
      </x:c>
      <x:c r="K59" s="24" t="n">
        <x:f>IF(AND(D59&lt;&gt;"",E59&lt;&gt;"",F59&lt;&gt;""),1,0)</x:f>
        <x:v>0</x:v>
      </x:c>
      <x:c r="L59" s="27" t="str">
        <x:v>Campo importante ausente na entrada sintética.</x:v>
      </x:c>
    </x:row>
    <x:row r="60">
      <x:c r="A60" s="18" t="str">
        <x:v>CT059</x:v>
      </x:c>
      <x:c r="B60" s="21" t="n">
        <x:v>46145.69027777778</x:v>
      </x:c>
      <x:c r="C60" s="18" t="str">
        <x:v>Telefone</x:v>
      </x:c>
      <x:c r="D60" s="18" t="str">
        <x:v>CL059</x:v>
      </x:c>
      <x:c r="E60" s="18" t="str"/>
      <x:c r="F60" s="18" t="str">
        <x:v>Oeste</x:v>
      </x:c>
      <x:c r="G60" s="18" t="str">
        <x:v>Alta</x:v>
      </x:c>
      <x:c r="H60" s="21" t="n">
        <x:v>46146.14791666667</x:v>
      </x:c>
      <x:c r="I60" s="24" t="n">
        <x:f>ROUND((H60-B60)*1440,0)</x:f>
        <x:v>659</x:v>
      </x:c>
      <x:c r="J60" s="24" t="n">
        <x:f>IF(I60&gt;240,1,0)</x:f>
        <x:v>1</x:v>
      </x:c>
      <x:c r="K60" s="24" t="n">
        <x:f>IF(AND(D60&lt;&gt;"",E60&lt;&gt;"",F60&lt;&gt;""),1,0)</x:f>
        <x:v>0</x:v>
      </x:c>
      <x:c r="L60" s="27" t="str">
        <x:v>Campo importante ausente na entrada sintética.</x:v>
      </x:c>
    </x:row>
    <x:row r="61">
      <x:c r="A61" s="18" t="str">
        <x:v>CT060</x:v>
      </x:c>
      <x:c r="B61" s="21" t="n">
        <x:v>46146.74097222222</x:v>
      </x:c>
      <x:c r="C61" s="18" t="str">
        <x:v>Indicação</x:v>
      </x:c>
      <x:c r="D61" s="18" t="str">
        <x:v>CL060</x:v>
      </x:c>
      <x:c r="E61" s="18" t="str">
        <x:v>Hidráulica leve</x:v>
      </x:c>
      <x:c r="F61" s="18" t="str">
        <x:v>Centro</x:v>
      </x:c>
      <x:c r="G61" s="18" t="str">
        <x:v>Não informada</x:v>
      </x:c>
      <x:c r="H61" s="21" t="n">
        <x:v>46146.86041666667</x:v>
      </x:c>
      <x:c r="I61" s="24" t="n">
        <x:f>ROUND((H61-B61)*1440,0)</x:f>
        <x:v>172</x:v>
      </x:c>
      <x:c r="J61" s="24" t="n">
        <x:f>IF(I61&gt;240,1,0)</x:f>
        <x:v>0</x:v>
      </x:c>
      <x:c r="K61" s="24" t="n">
        <x:f>IF(AND(D61&lt;&gt;"",E61&lt;&gt;"",F61&lt;&gt;""),1,0)</x:f>
        <x:v>1</x:v>
      </x:c>
      <x:c r="L61" s="27" t="str">
        <x:v>Cadastro mínimo presente.</x:v>
      </x:c>
    </x:row>
    <x:row r="62">
      <x:c r="A62" s="18" t="str">
        <x:v>CT061</x:v>
      </x:c>
      <x:c r="B62" s="21" t="n">
        <x:v>46147.333333333336</x:v>
      </x:c>
      <x:c r="C62" s="18" t="str">
        <x:v>Formulário</x:v>
      </x:c>
      <x:c r="D62" s="18" t="str">
        <x:v>CL061</x:v>
      </x:c>
      <x:c r="E62" s="18" t="str">
        <x:v>Elétrica leve</x:v>
      </x:c>
      <x:c r="F62" s="18" t="str">
        <x:v>Norte</x:v>
      </x:c>
      <x:c r="G62" s="18" t="str">
        <x:v>Baixa</x:v>
      </x:c>
      <x:c r="H62" s="21" t="n">
        <x:v>46147.49375</x:v>
      </x:c>
      <x:c r="I62" s="24" t="n">
        <x:f>ROUND((H62-B62)*1440,0)</x:f>
        <x:v>231</x:v>
      </x:c>
      <x:c r="J62" s="24" t="n">
        <x:f>IF(I62&gt;240,1,0)</x:f>
        <x:v>0</x:v>
      </x:c>
      <x:c r="K62" s="24" t="n">
        <x:f>IF(AND(D62&lt;&gt;"",E62&lt;&gt;"",F62&lt;&gt;""),1,0)</x:f>
        <x:v>1</x:v>
      </x:c>
      <x:c r="L62" s="27" t="str">
        <x:v>Cadastro mínimo presente.</x:v>
      </x:c>
    </x:row>
    <x:row r="63">
      <x:c r="A63" s="18" t="str">
        <x:v>CT062</x:v>
      </x:c>
      <x:c r="B63" s="21" t="n">
        <x:v>46148.38402777778</x:v>
      </x:c>
      <x:c r="C63" s="18" t="str">
        <x:v>Mensageria</x:v>
      </x:c>
      <x:c r="D63" s="18" t="str">
        <x:v>CL062</x:v>
      </x:c>
      <x:c r="E63" s="18" t="str"/>
      <x:c r="F63" s="18" t="str">
        <x:v>Sul</x:v>
      </x:c>
      <x:c r="G63" s="18" t="str">
        <x:v>Média</x:v>
      </x:c>
      <x:c r="H63" s="21" t="n">
        <x:v>46148.708333333336</x:v>
      </x:c>
      <x:c r="I63" s="24" t="n">
        <x:f>ROUND((H63-B63)*1440,0)</x:f>
        <x:v>467</x:v>
      </x:c>
      <x:c r="J63" s="24" t="n">
        <x:f>IF(I63&gt;240,1,0)</x:f>
        <x:v>1</x:v>
      </x:c>
      <x:c r="K63" s="24" t="n">
        <x:f>IF(AND(D63&lt;&gt;"",E63&lt;&gt;"",F63&lt;&gt;""),1,0)</x:f>
        <x:v>0</x:v>
      </x:c>
      <x:c r="L63" s="27" t="str">
        <x:v>Campo importante ausente na entrada sintética.</x:v>
      </x:c>
    </x:row>
    <x:row r="64">
      <x:c r="A64" s="18" t="str">
        <x:v>CT063</x:v>
      </x:c>
      <x:c r="B64" s="21" t="n">
        <x:v>46149.43472222222</x:v>
      </x:c>
      <x:c r="C64" s="18" t="str">
        <x:v>Telefone</x:v>
      </x:c>
      <x:c r="D64" s="18" t="str">
        <x:v>CL063</x:v>
      </x:c>
      <x:c r="E64" s="18" t="str">
        <x:v>Refrigeração</x:v>
      </x:c>
      <x:c r="F64" s="18" t="str">
        <x:v>Leste</x:v>
      </x:c>
      <x:c r="G64" s="18" t="str">
        <x:v>Alta</x:v>
      </x:c>
      <x:c r="H64" s="21" t="n">
        <x:v>46149.46805555555</x:v>
      </x:c>
      <x:c r="I64" s="24" t="n">
        <x:f>ROUND((H64-B64)*1440,0)</x:f>
        <x:v>48</x:v>
      </x:c>
      <x:c r="J64" s="24" t="n">
        <x:f>IF(I64&gt;240,1,0)</x:f>
        <x:v>0</x:v>
      </x:c>
      <x:c r="K64" s="24" t="n">
        <x:f>IF(AND(D64&lt;&gt;"",E64&lt;&gt;"",F64&lt;&gt;""),1,0)</x:f>
        <x:v>1</x:v>
      </x:c>
      <x:c r="L64" s="27" t="str">
        <x:v>Cadastro mínimo presente.</x:v>
      </x:c>
    </x:row>
    <x:row r="65">
      <x:c r="A65" s="18" t="str">
        <x:v>CT064</x:v>
      </x:c>
      <x:c r="B65" s="21" t="n">
        <x:v>46150.48541666667</x:v>
      </x:c>
      <x:c r="C65" s="18" t="str">
        <x:v>Indicação</x:v>
      </x:c>
      <x:c r="D65" s="18" t="str">
        <x:v>CL064</x:v>
      </x:c>
      <x:c r="E65" s="18" t="str">
        <x:v>Hidráulica leve</x:v>
      </x:c>
      <x:c r="F65" s="18" t="str">
        <x:v>Oeste</x:v>
      </x:c>
      <x:c r="G65" s="18" t="str">
        <x:v>Não informada</x:v>
      </x:c>
      <x:c r="H65" s="21" t="n">
        <x:v>46150.527083333334</x:v>
      </x:c>
      <x:c r="I65" s="24" t="n">
        <x:f>ROUND((H65-B65)*1440,0)</x:f>
        <x:v>60</x:v>
      </x:c>
      <x:c r="J65" s="24" t="n">
        <x:f>IF(I65&gt;240,1,0)</x:f>
        <x:v>0</x:v>
      </x:c>
      <x:c r="K65" s="24" t="n">
        <x:f>IF(AND(D65&lt;&gt;"",E65&lt;&gt;"",F65&lt;&gt;""),1,0)</x:f>
        <x:v>1</x:v>
      </x:c>
      <x:c r="L65" s="27" t="str">
        <x:v>Cadastro mínimo presente.</x:v>
      </x:c>
    </x:row>
    <x:row r="66">
      <x:c r="A66" s="18" t="str">
        <x:v>CT065</x:v>
      </x:c>
      <x:c r="B66" s="21" t="n">
        <x:v>46151.53611111111</x:v>
      </x:c>
      <x:c r="C66" s="18" t="str">
        <x:v>Formulário</x:v>
      </x:c>
      <x:c r="D66" s="18" t="str">
        <x:v>CL065</x:v>
      </x:c>
      <x:c r="E66" s="18" t="str"/>
      <x:c r="F66" s="18" t="str">
        <x:v>Centro</x:v>
      </x:c>
      <x:c r="G66" s="18" t="str">
        <x:v>Baixa</x:v>
      </x:c>
      <x:c r="H66" s="21" t="n">
        <x:v>46151.93402777778</x:v>
      </x:c>
      <x:c r="I66" s="24" t="n">
        <x:f>ROUND((H66-B66)*1440,0)</x:f>
        <x:v>573</x:v>
      </x:c>
      <x:c r="J66" s="24" t="n">
        <x:f>IF(I66&gt;240,1,0)</x:f>
        <x:v>1</x:v>
      </x:c>
      <x:c r="K66" s="24" t="n">
        <x:f>IF(AND(D66&lt;&gt;"",E66&lt;&gt;"",F66&lt;&gt;""),1,0)</x:f>
        <x:v>0</x:v>
      </x:c>
      <x:c r="L66" s="27" t="str">
        <x:v>Campo importante ausente na entrada sintética.</x:v>
      </x:c>
    </x:row>
    <x:row r="67">
      <x:c r="A67" s="18" t="str">
        <x:v>CT066</x:v>
      </x:c>
      <x:c r="B67" s="21" t="n">
        <x:v>46152.54513888889</x:v>
      </x:c>
      <x:c r="C67" s="18" t="str">
        <x:v>Mensageria</x:v>
      </x:c>
      <x:c r="D67" s="18" t="str">
        <x:v>CL066</x:v>
      </x:c>
      <x:c r="E67" s="18" t="str">
        <x:v>Climatização</x:v>
      </x:c>
      <x:c r="F67" s="18" t="str">
        <x:v>Norte</x:v>
      </x:c>
      <x:c r="G67" s="18" t="str">
        <x:v>Média</x:v>
      </x:c>
      <x:c r="H67" s="21" t="n">
        <x:v>46152.708333333336</x:v>
      </x:c>
      <x:c r="I67" s="24" t="n">
        <x:f>ROUND((H67-B67)*1440,0)</x:f>
        <x:v>235</x:v>
      </x:c>
      <x:c r="J67" s="24" t="n">
        <x:f>IF(I67&gt;240,1,0)</x:f>
        <x:v>0</x:v>
      </x:c>
      <x:c r="K67" s="24" t="n">
        <x:f>IF(AND(D67&lt;&gt;"",E67&lt;&gt;"",F67&lt;&gt;""),1,0)</x:f>
        <x:v>1</x:v>
      </x:c>
      <x:c r="L67" s="27" t="str">
        <x:v>Cadastro mínimo presente.</x:v>
      </x:c>
    </x:row>
    <x:row r="68">
      <x:c r="A68" s="18" t="str">
        <x:v>CT067</x:v>
      </x:c>
      <x:c r="B68" s="21" t="n">
        <x:v>46153.59583333333</x:v>
      </x:c>
      <x:c r="C68" s="18" t="str">
        <x:v>Telefone</x:v>
      </x:c>
      <x:c r="D68" s="18" t="str">
        <x:v>CL067</x:v>
      </x:c>
      <x:c r="E68" s="18" t="str">
        <x:v>Refrigeração</x:v>
      </x:c>
      <x:c r="F68" s="18" t="str">
        <x:v>Sul</x:v>
      </x:c>
      <x:c r="G68" s="18" t="str">
        <x:v>Alta</x:v>
      </x:c>
      <x:c r="H68" s="21" t="n">
        <x:v>46153.714583333334</x:v>
      </x:c>
      <x:c r="I68" s="24" t="n">
        <x:f>ROUND((H68-B68)*1440,0)</x:f>
        <x:v>171</x:v>
      </x:c>
      <x:c r="J68" s="24" t="n">
        <x:f>IF(I68&gt;240,1,0)</x:f>
        <x:v>0</x:v>
      </x:c>
      <x:c r="K68" s="24" t="n">
        <x:f>IF(AND(D68&lt;&gt;"",E68&lt;&gt;"",F68&lt;&gt;""),1,0)</x:f>
        <x:v>1</x:v>
      </x:c>
      <x:c r="L68" s="27" t="str">
        <x:v>Cadastro mínimo presente.</x:v>
      </x:c>
    </x:row>
    <x:row r="69">
      <x:c r="A69" s="18" t="str">
        <x:v>CT068</x:v>
      </x:c>
      <x:c r="B69" s="21" t="n">
        <x:v>46154.646527777775</x:v>
      </x:c>
      <x:c r="C69" s="18" t="str">
        <x:v>Indicação</x:v>
      </x:c>
      <x:c r="D69" s="18" t="str">
        <x:v>CL068</x:v>
      </x:c>
      <x:c r="E69" s="18" t="str"/>
      <x:c r="F69" s="18" t="str">
        <x:v>Leste</x:v>
      </x:c>
      <x:c r="G69" s="18" t="str">
        <x:v>Não informada</x:v>
      </x:c>
      <x:c r="H69" s="21" t="n">
        <x:v>46154.89722222222</x:v>
      </x:c>
      <x:c r="I69" s="24" t="n">
        <x:f>ROUND((H69-B69)*1440,0)</x:f>
        <x:v>361</x:v>
      </x:c>
      <x:c r="J69" s="24" t="n">
        <x:f>IF(I69&gt;240,1,0)</x:f>
        <x:v>1</x:v>
      </x:c>
      <x:c r="K69" s="24" t="n">
        <x:f>IF(AND(D69&lt;&gt;"",E69&lt;&gt;"",F69&lt;&gt;""),1,0)</x:f>
        <x:v>0</x:v>
      </x:c>
      <x:c r="L69" s="27" t="str">
        <x:v>Campo importante ausente na entrada sintética.</x:v>
      </x:c>
    </x:row>
    <x:row r="70">
      <x:c r="A70" s="18" t="str">
        <x:v>CT069</x:v>
      </x:c>
      <x:c r="B70" s="21" t="n">
        <x:v>46155.697222222225</x:v>
      </x:c>
      <x:c r="C70" s="18" t="str">
        <x:v>Formulário</x:v>
      </x:c>
      <x:c r="D70" s="18" t="str">
        <x:v>CL069</x:v>
      </x:c>
      <x:c r="E70" s="18" t="str">
        <x:v>Elétrica leve</x:v>
      </x:c>
      <x:c r="F70" s="18" t="str">
        <x:v>Oeste</x:v>
      </x:c>
      <x:c r="G70" s="18" t="str">
        <x:v>Baixa</x:v>
      </x:c>
      <x:c r="H70" s="21" t="n">
        <x:v>46155.84722222222</x:v>
      </x:c>
      <x:c r="I70" s="24" t="n">
        <x:f>ROUND((H70-B70)*1440,0)</x:f>
        <x:v>216</x:v>
      </x:c>
      <x:c r="J70" s="24" t="n">
        <x:f>IF(I70&gt;240,1,0)</x:f>
        <x:v>0</x:v>
      </x:c>
      <x:c r="K70" s="24" t="n">
        <x:f>IF(AND(D70&lt;&gt;"",E70&lt;&gt;"",F70&lt;&gt;""),1,0)</x:f>
        <x:v>1</x:v>
      </x:c>
      <x:c r="L70" s="27" t="str">
        <x:v>Cadastro mínimo presente.</x:v>
      </x:c>
    </x:row>
    <x:row r="71">
      <x:c r="A71" s="18" t="str">
        <x:v>CT070</x:v>
      </x:c>
      <x:c r="B71" s="21" t="n">
        <x:v>46156.74791666667</x:v>
      </x:c>
      <x:c r="C71" s="18" t="str">
        <x:v>Mensageria</x:v>
      </x:c>
      <x:c r="D71" s="18" t="str">
        <x:v>CL070</x:v>
      </x:c>
      <x:c r="E71" s="18" t="str">
        <x:v>Climatização</x:v>
      </x:c>
      <x:c r="F71" s="18" t="str">
        <x:v>Centro</x:v>
      </x:c>
      <x:c r="G71" s="18" t="str">
        <x:v>Média</x:v>
      </x:c>
      <x:c r="H71" s="21" t="n">
        <x:v>46156.90069444444</x:v>
      </x:c>
      <x:c r="I71" s="24" t="n">
        <x:f>ROUND((H71-B71)*1440,0)</x:f>
        <x:v>220</x:v>
      </x:c>
      <x:c r="J71" s="24" t="n">
        <x:f>IF(I71&gt;240,1,0)</x:f>
        <x:v>0</x:v>
      </x:c>
      <x:c r="K71" s="24" t="n">
        <x:f>IF(AND(D71&lt;&gt;"",E71&lt;&gt;"",F71&lt;&gt;""),1,0)</x:f>
        <x:v>1</x:v>
      </x:c>
      <x:c r="L71" s="27" t="str">
        <x:v>Cadastro mínimo presente.</x:v>
      </x:c>
    </x:row>
    <x:row r="72">
      <x:c r="A72" s="18" t="str">
        <x:v>CT071</x:v>
      </x:c>
      <x:c r="B72" s="21" t="n">
        <x:v>46157.34027777778</x:v>
      </x:c>
      <x:c r="C72" s="18" t="str">
        <x:v>Telefone</x:v>
      </x:c>
      <x:c r="D72" s="18" t="str">
        <x:v>CL071</x:v>
      </x:c>
      <x:c r="E72" s="18" t="str">
        <x:v>Refrigeração</x:v>
      </x:c>
      <x:c r="F72" s="18" t="str">
        <x:v>Norte</x:v>
      </x:c>
      <x:c r="G72" s="18" t="str">
        <x:v>Alta</x:v>
      </x:c>
      <x:c r="H72" s="21" t="n">
        <x:v>46157.388194444444</x:v>
      </x:c>
      <x:c r="I72" s="24" t="n">
        <x:f>ROUND((H72-B72)*1440,0)</x:f>
        <x:v>69</x:v>
      </x:c>
      <x:c r="J72" s="24" t="n">
        <x:f>IF(I72&gt;240,1,0)</x:f>
        <x:v>0</x:v>
      </x:c>
      <x:c r="K72" s="24" t="n">
        <x:f>IF(AND(D72&lt;&gt;"",E72&lt;&gt;"",F72&lt;&gt;""),1,0)</x:f>
        <x:v>1</x:v>
      </x:c>
      <x:c r="L72" s="27" t="str">
        <x:v>Cadastro mínimo presente.</x:v>
      </x:c>
    </x:row>
    <x:row r="73">
      <x:c r="A73" s="18" t="str">
        <x:v>CT072</x:v>
      </x:c>
      <x:c r="B73" s="21" t="n">
        <x:v>46158.39097222222</x:v>
      </x:c>
      <x:c r="C73" s="18" t="str">
        <x:v>Indicação</x:v>
      </x:c>
      <x:c r="D73" s="18" t="str">
        <x:v>CL072</x:v>
      </x:c>
      <x:c r="E73" s="18" t="str">
        <x:v>Hidráulica leve</x:v>
      </x:c>
      <x:c r="F73" s="18" t="str"/>
      <x:c r="G73" s="18" t="str">
        <x:v>Não informada</x:v>
      </x:c>
      <x:c r="H73" s="21" t="n">
        <x:v>46158.87777777778</x:v>
      </x:c>
      <x:c r="I73" s="24" t="n">
        <x:f>ROUND((H73-B73)*1440,0)</x:f>
        <x:v>701</x:v>
      </x:c>
      <x:c r="J73" s="24" t="n">
        <x:f>IF(I73&gt;240,1,0)</x:f>
        <x:v>1</x:v>
      </x:c>
      <x:c r="K73" s="24" t="n">
        <x:f>IF(AND(D73&lt;&gt;"",E73&lt;&gt;"",F73&lt;&gt;""),1,0)</x:f>
        <x:v>0</x:v>
      </x:c>
      <x:c r="L73" s="27" t="str">
        <x:v>Campo importante ausente na entrada sintética.</x:v>
      </x:c>
    </x:row>
    <x:row r="74">
      <x:c r="A74" s="18" t="str">
        <x:v>CT073</x:v>
      </x:c>
      <x:c r="B74" s="21" t="n">
        <x:v>46159.441666666666</x:v>
      </x:c>
      <x:c r="C74" s="18" t="str">
        <x:v>Formulário</x:v>
      </x:c>
      <x:c r="D74" s="18" t="str">
        <x:v>CL073</x:v>
      </x:c>
      <x:c r="E74" s="18" t="str">
        <x:v>Elétrica leve</x:v>
      </x:c>
      <x:c r="F74" s="18" t="str">
        <x:v>Leste</x:v>
      </x:c>
      <x:c r="G74" s="18" t="str">
        <x:v>Baixa</x:v>
      </x:c>
      <x:c r="H74" s="21" t="n">
        <x:v>46159.52291666667</x:v>
      </x:c>
      <x:c r="I74" s="24" t="n">
        <x:f>ROUND((H74-B74)*1440,0)</x:f>
        <x:v>117</x:v>
      </x:c>
      <x:c r="J74" s="24" t="n">
        <x:f>IF(I74&gt;240,1,0)</x:f>
        <x:v>0</x:v>
      </x:c>
      <x:c r="K74" s="24" t="n">
        <x:f>IF(AND(D74&lt;&gt;"",E74&lt;&gt;"",F74&lt;&gt;""),1,0)</x:f>
        <x:v>1</x:v>
      </x:c>
      <x:c r="L74" s="27" t="str">
        <x:v>Cadastro mínimo presente.</x:v>
      </x:c>
    </x:row>
    <x:row r="75">
      <x:c r="A75" s="18" t="str">
        <x:v>CT074</x:v>
      </x:c>
      <x:c r="B75" s="21" t="n">
        <x:v>46160.49236111111</x:v>
      </x:c>
      <x:c r="C75" s="18" t="str">
        <x:v>Mensageria</x:v>
      </x:c>
      <x:c r="D75" s="18" t="str">
        <x:v>CL074</x:v>
      </x:c>
      <x:c r="E75" s="18" t="str"/>
      <x:c r="F75" s="18" t="str">
        <x:v>Oeste</x:v>
      </x:c>
      <x:c r="G75" s="18" t="str">
        <x:v>Média</x:v>
      </x:c>
      <x:c r="H75" s="21" t="n">
        <x:v>46160.75208333333</x:v>
      </x:c>
      <x:c r="I75" s="24" t="n">
        <x:f>ROUND((H75-B75)*1440,0)</x:f>
        <x:v>374</x:v>
      </x:c>
      <x:c r="J75" s="24" t="n">
        <x:f>IF(I75&gt;240,1,0)</x:f>
        <x:v>1</x:v>
      </x:c>
      <x:c r="K75" s="24" t="n">
        <x:f>IF(AND(D75&lt;&gt;"",E75&lt;&gt;"",F75&lt;&gt;""),1,0)</x:f>
        <x:v>0</x:v>
      </x:c>
      <x:c r="L75" s="27" t="str">
        <x:v>Campo importante ausente na entrada sintética.</x:v>
      </x:c>
    </x:row>
    <x:row r="76">
      <x:c r="A76" s="18" t="str">
        <x:v>CT075</x:v>
      </x:c>
      <x:c r="B76" s="21" t="n">
        <x:v>46161.501388888886</x:v>
      </x:c>
      <x:c r="C76" s="18" t="str">
        <x:v>Telefone</x:v>
      </x:c>
      <x:c r="D76" s="18" t="str">
        <x:v>CL075</x:v>
      </x:c>
      <x:c r="E76" s="18" t="str">
        <x:v>Refrigeração</x:v>
      </x:c>
      <x:c r="F76" s="18" t="str"/>
      <x:c r="G76" s="18" t="str">
        <x:v>Alta</x:v>
      </x:c>
      <x:c r="H76" s="21" t="n">
        <x:v>46161.722916666666</x:v>
      </x:c>
      <x:c r="I76" s="24" t="n">
        <x:f>ROUND((H76-B76)*1440,0)</x:f>
        <x:v>319</x:v>
      </x:c>
      <x:c r="J76" s="24" t="n">
        <x:f>IF(I76&gt;240,1,0)</x:f>
        <x:v>1</x:v>
      </x:c>
      <x:c r="K76" s="24" t="n">
        <x:f>IF(AND(D76&lt;&gt;"",E76&lt;&gt;"",F76&lt;&gt;""),1,0)</x:f>
        <x:v>0</x:v>
      </x:c>
      <x:c r="L76" s="27" t="str">
        <x:v>Campo importante ausente na entrada sintética.</x:v>
      </x:c>
    </x:row>
    <x:row r="77">
      <x:c r="A77" s="18" t="str">
        <x:v>CT076</x:v>
      </x:c>
      <x:c r="B77" s="21" t="n">
        <x:v>46162.552083333336</x:v>
      </x:c>
      <x:c r="C77" s="18" t="str">
        <x:v>Indicação</x:v>
      </x:c>
      <x:c r="D77" s="18" t="str">
        <x:v>CL076</x:v>
      </x:c>
      <x:c r="E77" s="18" t="str">
        <x:v>Hidráulica leve</x:v>
      </x:c>
      <x:c r="F77" s="18" t="str">
        <x:v>Norte</x:v>
      </x:c>
      <x:c r="G77" s="18" t="str">
        <x:v>Não informada</x:v>
      </x:c>
      <x:c r="H77" s="21" t="n">
        <x:v>46162.71319444444</x:v>
      </x:c>
      <x:c r="I77" s="24" t="n">
        <x:f>ROUND((H77-B77)*1440,0)</x:f>
        <x:v>232</x:v>
      </x:c>
      <x:c r="J77" s="24" t="n">
        <x:f>IF(I77&gt;240,1,0)</x:f>
        <x:v>0</x:v>
      </x:c>
      <x:c r="K77" s="24" t="n">
        <x:f>IF(AND(D77&lt;&gt;"",E77&lt;&gt;"",F77&lt;&gt;""),1,0)</x:f>
        <x:v>1</x:v>
      </x:c>
      <x:c r="L77" s="27" t="str">
        <x:v>Cadastro mínimo presente.</x:v>
      </x:c>
    </x:row>
    <x:row r="78">
      <x:c r="A78" s="18" t="str">
        <x:v>CT077</x:v>
      </x:c>
      <x:c r="B78" s="21" t="n">
        <x:v>46163.60277777778</x:v>
      </x:c>
      <x:c r="C78" s="18" t="str">
        <x:v>Formulário</x:v>
      </x:c>
      <x:c r="D78" s="18" t="str">
        <x:v>CL077</x:v>
      </x:c>
      <x:c r="E78" s="18" t="str">
        <x:v>Elétrica leve</x:v>
      </x:c>
      <x:c r="F78" s="18" t="str">
        <x:v>Sul</x:v>
      </x:c>
      <x:c r="G78" s="18" t="str">
        <x:v>Baixa</x:v>
      </x:c>
      <x:c r="H78" s="21" t="n">
        <x:v>46163.68541666667</x:v>
      </x:c>
      <x:c r="I78" s="24" t="n">
        <x:f>ROUND((H78-B78)*1440,0)</x:f>
        <x:v>119</x:v>
      </x:c>
      <x:c r="J78" s="24" t="n">
        <x:f>IF(I78&gt;240,1,0)</x:f>
        <x:v>0</x:v>
      </x:c>
      <x:c r="K78" s="24" t="n">
        <x:f>IF(AND(D78&lt;&gt;"",E78&lt;&gt;"",F78&lt;&gt;""),1,0)</x:f>
        <x:v>1</x:v>
      </x:c>
      <x:c r="L78" s="27" t="str">
        <x:v>Cadastro mínimo presente.</x:v>
      </x:c>
    </x:row>
    <x:row r="79">
      <x:c r="A79" s="18" t="str">
        <x:v>CT078</x:v>
      </x:c>
      <x:c r="B79" s="21" t="n">
        <x:v>46164.65347222222</x:v>
      </x:c>
      <x:c r="C79" s="18" t="str">
        <x:v>Mensageria</x:v>
      </x:c>
      <x:c r="D79" s="18" t="str">
        <x:v>CL078</x:v>
      </x:c>
      <x:c r="E79" s="18" t="str">
        <x:v>Climatização</x:v>
      </x:c>
      <x:c r="F79" s="18" t="str"/>
      <x:c r="G79" s="18" t="str">
        <x:v>Média</x:v>
      </x:c>
      <x:c r="H79" s="21" t="n">
        <x:v>46164.89027777778</x:v>
      </x:c>
      <x:c r="I79" s="24" t="n">
        <x:f>ROUND((H79-B79)*1440,0)</x:f>
        <x:v>341</x:v>
      </x:c>
      <x:c r="J79" s="24" t="n">
        <x:f>IF(I79&gt;240,1,0)</x:f>
        <x:v>1</x:v>
      </x:c>
      <x:c r="K79" s="24" t="n">
        <x:f>IF(AND(D79&lt;&gt;"",E79&lt;&gt;"",F79&lt;&gt;""),1,0)</x:f>
        <x:v>0</x:v>
      </x:c>
      <x:c r="L79" s="27" t="str">
        <x:v>Campo importante ausente na entrada sintética.</x:v>
      </x:c>
    </x:row>
    <x:row r="80">
      <x:c r="A80" s="18" t="str">
        <x:v>CT079</x:v>
      </x:c>
      <x:c r="B80" s="21" t="n">
        <x:v>46165.70416666667</x:v>
      </x:c>
      <x:c r="C80" s="18" t="str">
        <x:v>Telefone</x:v>
      </x:c>
      <x:c r="D80" s="18" t="str"/>
      <x:c r="E80" s="18" t="str">
        <x:v>Refrigeração</x:v>
      </x:c>
      <x:c r="F80" s="18" t="str">
        <x:v>Oeste</x:v>
      </x:c>
      <x:c r="G80" s="18" t="str">
        <x:v>Alta</x:v>
      </x:c>
      <x:c r="H80" s="21" t="n">
        <x:v>46166.169444444444</x:v>
      </x:c>
      <x:c r="I80" s="24" t="n">
        <x:f>ROUND((H80-B80)*1440,0)</x:f>
        <x:v>670</x:v>
      </x:c>
      <x:c r="J80" s="24" t="n">
        <x:f>IF(I80&gt;240,1,0)</x:f>
        <x:v>1</x:v>
      </x:c>
      <x:c r="K80" s="24" t="n">
        <x:f>IF(AND(D80&lt;&gt;"",E80&lt;&gt;"",F80&lt;&gt;""),1,0)</x:f>
        <x:v>0</x:v>
      </x:c>
      <x:c r="L80" s="27" t="str">
        <x:v>Campo importante ausente na entrada sintética.</x:v>
      </x:c>
    </x:row>
    <x:row r="81">
      <x:c r="A81" s="18" t="str">
        <x:v>CT080</x:v>
      </x:c>
      <x:c r="B81" s="21" t="n">
        <x:v>46166.71319444444</x:v>
      </x:c>
      <x:c r="C81" s="18" t="str">
        <x:v>Indicação</x:v>
      </x:c>
      <x:c r="D81" s="18" t="str">
        <x:v>CL080</x:v>
      </x:c>
      <x:c r="E81" s="18" t="str"/>
      <x:c r="F81" s="18" t="str">
        <x:v>Centro</x:v>
      </x:c>
      <x:c r="G81" s="18" t="str">
        <x:v>Não informada</x:v>
      </x:c>
      <x:c r="H81" s="21" t="n">
        <x:v>46167.08194444444</x:v>
      </x:c>
      <x:c r="I81" s="24" t="n">
        <x:f>ROUND((H81-B81)*1440,0)</x:f>
        <x:v>531</x:v>
      </x:c>
      <x:c r="J81" s="24" t="n">
        <x:f>IF(I81&gt;240,1,0)</x:f>
        <x:v>1</x:v>
      </x:c>
      <x:c r="K81" s="24" t="n">
        <x:f>IF(AND(D81&lt;&gt;"",E81&lt;&gt;"",F81&lt;&gt;""),1,0)</x:f>
        <x:v>0</x:v>
      </x:c>
      <x:c r="L81" s="27" t="str">
        <x:v>Campo importante ausente na entrada sintética.</x:v>
      </x:c>
    </x:row>
    <x:row r="82">
      <x:c r="A82" s="18" t="str">
        <x:v>CT081</x:v>
      </x:c>
      <x:c r="B82" s="21" t="n">
        <x:v>46167.34722222222</x:v>
      </x:c>
      <x:c r="C82" s="18" t="str">
        <x:v>Formulário</x:v>
      </x:c>
      <x:c r="D82" s="18" t="str">
        <x:v>CL081</x:v>
      </x:c>
      <x:c r="E82" s="18" t="str">
        <x:v>Elétrica leve</x:v>
      </x:c>
      <x:c r="F82" s="18" t="str"/>
      <x:c r="G82" s="18" t="str">
        <x:v>Baixa</x:v>
      </x:c>
      <x:c r="H82" s="21" t="n">
        <x:v>46167.72361111111</x:v>
      </x:c>
      <x:c r="I82" s="24" t="n">
        <x:f>ROUND((H82-B82)*1440,0)</x:f>
        <x:v>542</x:v>
      </x:c>
      <x:c r="J82" s="24" t="n">
        <x:f>IF(I82&gt;240,1,0)</x:f>
        <x:v>1</x:v>
      </x:c>
      <x:c r="K82" s="24" t="n">
        <x:f>IF(AND(D82&lt;&gt;"",E82&lt;&gt;"",F82&lt;&gt;""),1,0)</x:f>
        <x:v>0</x:v>
      </x:c>
      <x:c r="L82" s="27" t="str">
        <x:v>Campo importante ausente na entrada sintética.</x:v>
      </x:c>
    </x:row>
    <x:row r="83">
      <x:c r="A83" s="18" t="str">
        <x:v>CT082</x:v>
      </x:c>
      <x:c r="B83" s="21" t="n">
        <x:v>46168.39791666667</x:v>
      </x:c>
      <x:c r="C83" s="18" t="str">
        <x:v>Mensageria</x:v>
      </x:c>
      <x:c r="D83" s="18" t="str"/>
      <x:c r="E83" s="18" t="str">
        <x:v>Climatização</x:v>
      </x:c>
      <x:c r="F83" s="18" t="str">
        <x:v>Sul</x:v>
      </x:c>
      <x:c r="G83" s="18" t="str">
        <x:v>Média</x:v>
      </x:c>
      <x:c r="H83" s="21" t="n">
        <x:v>46168.74513888889</x:v>
      </x:c>
      <x:c r="I83" s="24" t="n">
        <x:f>ROUND((H83-B83)*1440,0)</x:f>
        <x:v>500</x:v>
      </x:c>
      <x:c r="J83" s="24" t="n">
        <x:f>IF(I83&gt;240,1,0)</x:f>
        <x:v>1</x:v>
      </x:c>
      <x:c r="K83" s="24" t="n">
        <x:f>IF(AND(D83&lt;&gt;"",E83&lt;&gt;"",F83&lt;&gt;""),1,0)</x:f>
        <x:v>0</x:v>
      </x:c>
      <x:c r="L83" s="27" t="str">
        <x:v>Campo importante ausente na entrada sintética.</x:v>
      </x:c>
    </x:row>
    <x:row r="84">
      <x:c r="A84" s="18" t="str">
        <x:v>CT083</x:v>
      </x:c>
      <x:c r="B84" s="21" t="n">
        <x:v>46169.44861111111</x:v>
      </x:c>
      <x:c r="C84" s="18" t="str">
        <x:v>Telefone</x:v>
      </x:c>
      <x:c r="D84" s="18" t="str">
        <x:v>CL083</x:v>
      </x:c>
      <x:c r="E84" s="18" t="str">
        <x:v>Refrigeração</x:v>
      </x:c>
      <x:c r="F84" s="18" t="str">
        <x:v>Leste</x:v>
      </x:c>
      <x:c r="G84" s="18" t="str">
        <x:v>Alta</x:v>
      </x:c>
      <x:c r="H84" s="21" t="n">
        <x:v>46169.509722222225</x:v>
      </x:c>
      <x:c r="I84" s="24" t="n">
        <x:f>ROUND((H84-B84)*1440,0)</x:f>
        <x:v>88</x:v>
      </x:c>
      <x:c r="J84" s="24" t="n">
        <x:f>IF(I84&gt;240,1,0)</x:f>
        <x:v>0</x:v>
      </x:c>
      <x:c r="K84" s="24" t="n">
        <x:f>IF(AND(D84&lt;&gt;"",E84&lt;&gt;"",F84&lt;&gt;""),1,0)</x:f>
        <x:v>1</x:v>
      </x:c>
      <x:c r="L84" s="27" t="str">
        <x:v>Cadastro mínimo presente.</x:v>
      </x:c>
    </x:row>
    <x:row r="85">
      <x:c r="A85" s="18" t="str">
        <x:v>CT084</x:v>
      </x:c>
      <x:c r="B85" s="21" t="n">
        <x:v>46170.49930555555</x:v>
      </x:c>
      <x:c r="C85" s="18" t="str">
        <x:v>Indicação</x:v>
      </x:c>
      <x:c r="D85" s="18" t="str">
        <x:v>CL084</x:v>
      </x:c>
      <x:c r="E85" s="18" t="str">
        <x:v>Hidráulica leve</x:v>
      </x:c>
      <x:c r="F85" s="18" t="str">
        <x:v>Oeste</x:v>
      </x:c>
      <x:c r="G85" s="18" t="str">
        <x:v>Não informada</x:v>
      </x:c>
      <x:c r="H85" s="21" t="n">
        <x:v>46170.6625</x:v>
      </x:c>
      <x:c r="I85" s="24" t="n">
        <x:f>ROUND((H85-B85)*1440,0)</x:f>
        <x:v>235</x:v>
      </x:c>
      <x:c r="J85" s="24" t="n">
        <x:f>IF(I85&gt;240,1,0)</x:f>
        <x:v>0</x:v>
      </x:c>
      <x:c r="K85" s="24" t="n">
        <x:f>IF(AND(D85&lt;&gt;"",E85&lt;&gt;"",F85&lt;&gt;""),1,0)</x:f>
        <x:v>1</x:v>
      </x:c>
      <x:c r="L85" s="27" t="str">
        <x:v>Cadastro mínimo presente.</x:v>
      </x:c>
    </x:row>
    <x:row r="86">
      <x:c r="A86" s="18" t="str">
        <x:v>CT085</x:v>
      </x:c>
      <x:c r="B86" s="21" t="n">
        <x:v>46143.50833333333</x:v>
      </x:c>
      <x:c r="C86" s="18" t="str">
        <x:v>Formulário</x:v>
      </x:c>
      <x:c r="D86" s="18" t="str">
        <x:v>CL085</x:v>
      </x:c>
      <x:c r="E86" s="18" t="str">
        <x:v>Elétrica leve</x:v>
      </x:c>
      <x:c r="F86" s="18" t="str">
        <x:v>Centro</x:v>
      </x:c>
      <x:c r="G86" s="18" t="str">
        <x:v>Baixa</x:v>
      </x:c>
      <x:c r="H86" s="21" t="n">
        <x:v>46143.65347222222</x:v>
      </x:c>
      <x:c r="I86" s="24" t="n">
        <x:f>ROUND((H86-B86)*1440,0)</x:f>
        <x:v>209</x:v>
      </x:c>
      <x:c r="J86" s="24" t="n">
        <x:f>IF(I86&gt;240,1,0)</x:f>
        <x:v>0</x:v>
      </x:c>
      <x:c r="K86" s="24" t="n">
        <x:f>IF(AND(D86&lt;&gt;"",E86&lt;&gt;"",F86&lt;&gt;""),1,0)</x:f>
        <x:v>1</x:v>
      </x:c>
      <x:c r="L86" s="27" t="str">
        <x:v>Cadastro mínimo presente.</x:v>
      </x:c>
    </x:row>
    <x:row r="87">
      <x:c r="A87" s="18" t="str">
        <x:v>CT086</x:v>
      </x:c>
      <x:c r="B87" s="21" t="n">
        <x:v>46144.55902777778</x:v>
      </x:c>
      <x:c r="C87" s="18" t="str">
        <x:v>Mensageria</x:v>
      </x:c>
      <x:c r="D87" s="18" t="str">
        <x:v>CL086</x:v>
      </x:c>
      <x:c r="E87" s="18" t="str">
        <x:v>Climatização</x:v>
      </x:c>
      <x:c r="F87" s="18" t="str">
        <x:v>Norte</x:v>
      </x:c>
      <x:c r="G87" s="18" t="str">
        <x:v>Média</x:v>
      </x:c>
      <x:c r="H87" s="21" t="n">
        <x:v>46144.62291666667</x:v>
      </x:c>
      <x:c r="I87" s="24" t="n">
        <x:f>ROUND((H87-B87)*1440,0)</x:f>
        <x:v>92</x:v>
      </x:c>
      <x:c r="J87" s="24" t="n">
        <x:f>IF(I87&gt;240,1,0)</x:f>
        <x:v>0</x:v>
      </x:c>
      <x:c r="K87" s="24" t="n">
        <x:f>IF(AND(D87&lt;&gt;"",E87&lt;&gt;"",F87&lt;&gt;""),1,0)</x:f>
        <x:v>1</x:v>
      </x:c>
      <x:c r="L87" s="27" t="str">
        <x:v>Cadastro mínimo presente.</x:v>
      </x:c>
    </x:row>
    <x:row r="88">
      <x:c r="A88" s="18" t="str">
        <x:v>CT087</x:v>
      </x:c>
      <x:c r="B88" s="21" t="n">
        <x:v>46145.60972222222</x:v>
      </x:c>
      <x:c r="C88" s="18" t="str">
        <x:v>Telefone</x:v>
      </x:c>
      <x:c r="D88" s="18" t="str">
        <x:v>CL001</x:v>
      </x:c>
      <x:c r="E88" s="18" t="str">
        <x:v>Refrigeração</x:v>
      </x:c>
      <x:c r="F88" s="18" t="str"/>
      <x:c r="G88" s="18" t="str">
        <x:v>Alta</x:v>
      </x:c>
      <x:c r="H88" s="21" t="n">
        <x:v>46145.81736111111</x:v>
      </x:c>
      <x:c r="I88" s="24" t="n">
        <x:f>ROUND((H88-B88)*1440,0)</x:f>
        <x:v>299</x:v>
      </x:c>
      <x:c r="J88" s="24" t="n">
        <x:f>IF(I88&gt;240,1,0)</x:f>
        <x:v>1</x:v>
      </x:c>
      <x:c r="K88" s="24" t="n">
        <x:f>IF(AND(D88&lt;&gt;"",E88&lt;&gt;"",F88&lt;&gt;""),1,0)</x:f>
        <x:v>0</x:v>
      </x:c>
      <x:c r="L88" s="27" t="str">
        <x:v>Campo importante ausente na entrada sintética.</x:v>
      </x:c>
    </x:row>
    <x:row r="89">
      <x:c r="A89" s="18" t="str">
        <x:v>CT088</x:v>
      </x:c>
      <x:c r="B89" s="21" t="n">
        <x:v>46146.660416666666</x:v>
      </x:c>
      <x:c r="C89" s="18" t="str">
        <x:v>Indicação</x:v>
      </x:c>
      <x:c r="D89" s="18" t="str"/>
      <x:c r="E89" s="18" t="str">
        <x:v>Hidráulica leve</x:v>
      </x:c>
      <x:c r="F89" s="18" t="str">
        <x:v>Leste</x:v>
      </x:c>
      <x:c r="G89" s="18" t="str">
        <x:v>Não informada</x:v>
      </x:c>
      <x:c r="H89" s="21" t="n">
        <x:v>46147.03055555555</x:v>
      </x:c>
      <x:c r="I89" s="24" t="n">
        <x:f>ROUND((H89-B89)*1440,0)</x:f>
        <x:v>533</x:v>
      </x:c>
      <x:c r="J89" s="24" t="n">
        <x:f>IF(I89&gt;240,1,0)</x:f>
        <x:v>1</x:v>
      </x:c>
      <x:c r="K89" s="24" t="n">
        <x:f>IF(AND(D89&lt;&gt;"",E89&lt;&gt;"",F89&lt;&gt;""),1,0)</x:f>
        <x:v>0</x:v>
      </x:c>
      <x:c r="L89" s="27" t="str">
        <x:v>Campo importante ausente na entrada sintética.</x:v>
      </x:c>
    </x:row>
    <x:row r="90">
      <x:c r="A90" s="18" t="str">
        <x:v>CT089</x:v>
      </x:c>
      <x:c r="B90" s="21" t="n">
        <x:v>46147.669444444444</x:v>
      </x:c>
      <x:c r="C90" s="18" t="str">
        <x:v>Formulário</x:v>
      </x:c>
      <x:c r="D90" s="18" t="str">
        <x:v>CL003</x:v>
      </x:c>
      <x:c r="E90" s="18" t="str">
        <x:v>Elétrica leve</x:v>
      </x:c>
      <x:c r="F90" s="18" t="str">
        <x:v>Oeste</x:v>
      </x:c>
      <x:c r="G90" s="18" t="str">
        <x:v>Baixa</x:v>
      </x:c>
      <x:c r="H90" s="21" t="n">
        <x:v>46147.808333333334</x:v>
      </x:c>
      <x:c r="I90" s="24" t="n">
        <x:f>ROUND((H90-B90)*1440,0)</x:f>
        <x:v>200</x:v>
      </x:c>
      <x:c r="J90" s="24" t="n">
        <x:f>IF(I90&gt;240,1,0)</x:f>
        <x:v>0</x:v>
      </x:c>
      <x:c r="K90" s="24" t="n">
        <x:f>IF(AND(D90&lt;&gt;"",E90&lt;&gt;"",F90&lt;&gt;""),1,0)</x:f>
        <x:v>1</x:v>
      </x:c>
      <x:c r="L90" s="27" t="str">
        <x:v>Cadastro mínimo presente.</x:v>
      </x:c>
    </x:row>
    <x:row r="91">
      <x:c r="A91" s="18" t="str">
        <x:v>CT090</x:v>
      </x:c>
      <x:c r="B91" s="21" t="n">
        <x:v>46148.720138888886</x:v>
      </x:c>
      <x:c r="C91" s="18" t="str">
        <x:v>Mensageria</x:v>
      </x:c>
      <x:c r="D91" s="18" t="str">
        <x:v>CL004</x:v>
      </x:c>
      <x:c r="E91" s="18" t="str">
        <x:v>Climatização</x:v>
      </x:c>
      <x:c r="F91" s="18" t="str">
        <x:v>Centro</x:v>
      </x:c>
      <x:c r="G91" s="18" t="str">
        <x:v>Média</x:v>
      </x:c>
      <x:c r="H91" s="21" t="n">
        <x:v>46148.802083333336</x:v>
      </x:c>
      <x:c r="I91" s="24" t="n">
        <x:f>ROUND((H91-B91)*1440,0)</x:f>
        <x:v>118</x:v>
      </x:c>
      <x:c r="J91" s="24" t="n">
        <x:f>IF(I91&gt;240,1,0)</x:f>
        <x:v>0</x:v>
      </x:c>
      <x:c r="K91" s="24" t="n">
        <x:f>IF(AND(D91&lt;&gt;"",E91&lt;&gt;"",F91&lt;&gt;""),1,0)</x:f>
        <x:v>1</x:v>
      </x:c>
      <x:c r="L91" s="27" t="str">
        <x:v>Cadastro mínimo presente.</x:v>
      </x:c>
    </x:row>
    <x:row r="92">
      <x:c r="A92" s="18" t="str">
        <x:v>CT091</x:v>
      </x:c>
      <x:c r="B92" s="21" t="n">
        <x:v>46149.354166666664</x:v>
      </x:c>
      <x:c r="C92" s="18" t="str">
        <x:v>Telefone</x:v>
      </x:c>
      <x:c r="D92" s="18" t="str">
        <x:v>CL005</x:v>
      </x:c>
      <x:c r="E92" s="18" t="str">
        <x:v>Refrigeração</x:v>
      </x:c>
      <x:c r="F92" s="18" t="str">
        <x:v>Norte</x:v>
      </x:c>
      <x:c r="G92" s="18" t="str">
        <x:v>Alta</x:v>
      </x:c>
      <x:c r="H92" s="21" t="n">
        <x:v>46149.43958333333</x:v>
      </x:c>
      <x:c r="I92" s="24" t="n">
        <x:f>ROUND((H92-B92)*1440,0)</x:f>
        <x:v>123</x:v>
      </x:c>
      <x:c r="J92" s="24" t="n">
        <x:f>IF(I92&gt;240,1,0)</x:f>
        <x:v>0</x:v>
      </x:c>
      <x:c r="K92" s="24" t="n">
        <x:f>IF(AND(D92&lt;&gt;"",E92&lt;&gt;"",F92&lt;&gt;""),1,0)</x:f>
        <x:v>1</x:v>
      </x:c>
      <x:c r="L92" s="27" t="str">
        <x:v>Cadastro mínimo presente.</x:v>
      </x:c>
    </x:row>
    <x:row r="93">
      <x:c r="A93" s="18" t="str">
        <x:v>CT092</x:v>
      </x:c>
      <x:c r="B93" s="21" t="n">
        <x:v>46150.404861111114</x:v>
      </x:c>
      <x:c r="C93" s="18" t="str">
        <x:v>Indicação</x:v>
      </x:c>
      <x:c r="D93" s="18" t="str">
        <x:v>CL006</x:v>
      </x:c>
      <x:c r="E93" s="18" t="str">
        <x:v>Hidráulica leve</x:v>
      </x:c>
      <x:c r="F93" s="18" t="str">
        <x:v>Sul</x:v>
      </x:c>
      <x:c r="G93" s="18" t="str">
        <x:v>Não informada</x:v>
      </x:c>
      <x:c r="H93" s="21" t="n">
        <x:v>46150.569444444445</x:v>
      </x:c>
      <x:c r="I93" s="24" t="n">
        <x:f>ROUND((H93-B93)*1440,0)</x:f>
        <x:v>237</x:v>
      </x:c>
      <x:c r="J93" s="24" t="n">
        <x:f>IF(I93&gt;240,1,0)</x:f>
        <x:v>0</x:v>
      </x:c>
      <x:c r="K93" s="24" t="n">
        <x:f>IF(AND(D93&lt;&gt;"",E93&lt;&gt;"",F93&lt;&gt;""),1,0)</x:f>
        <x:v>1</x:v>
      </x:c>
      <x:c r="L93" s="27" t="str">
        <x:v>Cadastro mínimo presente.</x:v>
      </x:c>
    </x:row>
    <x:row r="94">
      <x:c r="A94" s="18" t="str">
        <x:v>CT093</x:v>
      </x:c>
      <x:c r="B94" s="21" t="n">
        <x:v>46151.455555555556</x:v>
      </x:c>
      <x:c r="C94" s="18" t="str">
        <x:v>Formulário</x:v>
      </x:c>
      <x:c r="D94" s="18" t="str">
        <x:v>CL007</x:v>
      </x:c>
      <x:c r="E94" s="18" t="str">
        <x:v>Elétrica leve</x:v>
      </x:c>
      <x:c r="F94" s="18" t="str">
        <x:v>Leste</x:v>
      </x:c>
      <x:c r="G94" s="18" t="str">
        <x:v>Baixa</x:v>
      </x:c>
      <x:c r="H94" s="21" t="n">
        <x:v>46151.50069444445</x:v>
      </x:c>
      <x:c r="I94" s="24" t="n">
        <x:f>ROUND((H94-B94)*1440,0)</x:f>
        <x:v>65</x:v>
      </x:c>
      <x:c r="J94" s="24" t="n">
        <x:f>IF(I94&gt;240,1,0)</x:f>
        <x:v>0</x:v>
      </x:c>
      <x:c r="K94" s="24" t="n">
        <x:f>IF(AND(D94&lt;&gt;"",E94&lt;&gt;"",F94&lt;&gt;""),1,0)</x:f>
        <x:v>1</x:v>
      </x:c>
      <x:c r="L94" s="27" t="str">
        <x:v>Cadastro mínimo presente.</x:v>
      </x:c>
    </x:row>
    <x:row r="95">
      <x:c r="A95" s="18" t="str">
        <x:v>CT094</x:v>
      </x:c>
      <x:c r="B95" s="21" t="n">
        <x:v>46152.464583333334</x:v>
      </x:c>
      <x:c r="C95" s="18" t="str">
        <x:v>Mensageria</x:v>
      </x:c>
      <x:c r="D95" s="18" t="str"/>
      <x:c r="E95" s="18" t="str">
        <x:v>Climatização</x:v>
      </x:c>
      <x:c r="F95" s="18" t="str">
        <x:v>Oeste</x:v>
      </x:c>
      <x:c r="G95" s="18" t="str">
        <x:v>Média</x:v>
      </x:c>
      <x:c r="H95" s="21" t="n">
        <x:v>46152.75347222222</x:v>
      </x:c>
      <x:c r="I95" s="24" t="n">
        <x:f>ROUND((H95-B95)*1440,0)</x:f>
        <x:v>416</x:v>
      </x:c>
      <x:c r="J95" s="24" t="n">
        <x:f>IF(I95&gt;240,1,0)</x:f>
        <x:v>1</x:v>
      </x:c>
      <x:c r="K95" s="24" t="n">
        <x:f>IF(AND(D95&lt;&gt;"",E95&lt;&gt;"",F95&lt;&gt;""),1,0)</x:f>
        <x:v>0</x:v>
      </x:c>
      <x:c r="L95" s="27" t="str">
        <x:v>Campo importante ausente na entrada sintética.</x:v>
      </x:c>
    </x:row>
    <x:row r="96">
      <x:c r="A96" s="18" t="str">
        <x:v>CT095</x:v>
      </x:c>
      <x:c r="B96" s="21" t="n">
        <x:v>46153.51527777778</x:v>
      </x:c>
      <x:c r="C96" s="18" t="str">
        <x:v>Telefone</x:v>
      </x:c>
      <x:c r="D96" s="18" t="str">
        <x:v>CL009</x:v>
      </x:c>
      <x:c r="E96" s="18" t="str"/>
      <x:c r="F96" s="18" t="str">
        <x:v>Centro</x:v>
      </x:c>
      <x:c r="G96" s="18" t="str">
        <x:v>Alta</x:v>
      </x:c>
      <x:c r="H96" s="21" t="n">
        <x:v>46153.759722222225</x:v>
      </x:c>
      <x:c r="I96" s="24" t="n">
        <x:f>ROUND((H96-B96)*1440,0)</x:f>
        <x:v>352</x:v>
      </x:c>
      <x:c r="J96" s="24" t="n">
        <x:f>IF(I96&gt;240,1,0)</x:f>
        <x:v>1</x:v>
      </x:c>
      <x:c r="K96" s="24" t="n">
        <x:f>IF(AND(D96&lt;&gt;"",E96&lt;&gt;"",F96&lt;&gt;""),1,0)</x:f>
        <x:v>0</x:v>
      </x:c>
      <x:c r="L96" s="27" t="str">
        <x:v>Campo importante ausente na entrada sintética.</x:v>
      </x:c>
    </x:row>
    <x:row r="97">
      <x:c r="A97" s="18" t="str">
        <x:v>CT096</x:v>
      </x:c>
      <x:c r="B97" s="21" t="n">
        <x:v>46154.56597222222</x:v>
      </x:c>
      <x:c r="C97" s="18" t="str">
        <x:v>Indicação</x:v>
      </x:c>
      <x:c r="D97" s="18" t="str">
        <x:v>CL010</x:v>
      </x:c>
      <x:c r="E97" s="18" t="str">
        <x:v>Hidráulica leve</x:v>
      </x:c>
      <x:c r="F97" s="18" t="str"/>
      <x:c r="G97" s="18" t="str">
        <x:v>Não informada</x:v>
      </x:c>
      <x:c r="H97" s="21" t="n">
        <x:v>46154.99444444444</x:v>
      </x:c>
      <x:c r="I97" s="24" t="n">
        <x:f>ROUND((H97-B97)*1440,0)</x:f>
        <x:v>617</x:v>
      </x:c>
      <x:c r="J97" s="24" t="n">
        <x:f>IF(I97&gt;240,1,0)</x:f>
        <x:v>1</x:v>
      </x:c>
      <x:c r="K97" s="24" t="n">
        <x:f>IF(AND(D97&lt;&gt;"",E97&lt;&gt;"",F97&lt;&gt;""),1,0)</x:f>
        <x:v>0</x:v>
      </x:c>
      <x:c r="L97" s="27" t="str">
        <x:v>Campo importante ausente na entrada sintética.</x:v>
      </x:c>
    </x:row>
    <x:row r="98">
      <x:c r="A98" s="18" t="str">
        <x:v>CT097</x:v>
      </x:c>
      <x:c r="B98" s="21" t="n">
        <x:v>46155.61666666667</x:v>
      </x:c>
      <x:c r="C98" s="18" t="str">
        <x:v>Formulário</x:v>
      </x:c>
      <x:c r="D98" s="18" t="str">
        <x:v>CL011</x:v>
      </x:c>
      <x:c r="E98" s="18" t="str">
        <x:v>Elétrica leve</x:v>
      </x:c>
      <x:c r="F98" s="18" t="str">
        <x:v>Sul</x:v>
      </x:c>
      <x:c r="G98" s="18" t="str">
        <x:v>Baixa</x:v>
      </x:c>
      <x:c r="H98" s="21" t="n">
        <x:v>46155.77569444444</x:v>
      </x:c>
      <x:c r="I98" s="24" t="n">
        <x:f>ROUND((H98-B98)*1440,0)</x:f>
        <x:v>229</x:v>
      </x:c>
      <x:c r="J98" s="24" t="n">
        <x:f>IF(I98&gt;240,1,0)</x:f>
        <x:v>0</x:v>
      </x:c>
      <x:c r="K98" s="24" t="n">
        <x:f>IF(AND(D98&lt;&gt;"",E98&lt;&gt;"",F98&lt;&gt;""),1,0)</x:f>
        <x:v>1</x:v>
      </x:c>
      <x:c r="L98" s="27" t="str">
        <x:v>Cadastro mínimo presente.</x:v>
      </x:c>
    </x:row>
    <x:row r="99">
      <x:c r="A99" s="18" t="str">
        <x:v>CT098</x:v>
      </x:c>
      <x:c r="B99" s="21" t="n">
        <x:v>46156.62569444445</x:v>
      </x:c>
      <x:c r="C99" s="18" t="str">
        <x:v>Mensageria</x:v>
      </x:c>
      <x:c r="D99" s="18" t="str">
        <x:v>CL012</x:v>
      </x:c>
      <x:c r="E99" s="18" t="str"/>
      <x:c r="F99" s="18" t="str">
        <x:v>Leste</x:v>
      </x:c>
      <x:c r="G99" s="18" t="str">
        <x:v>Média</x:v>
      </x:c>
      <x:c r="H99" s="21" t="n">
        <x:v>46157.03125</x:v>
      </x:c>
      <x:c r="I99" s="24" t="n">
        <x:f>ROUND((H99-B99)*1440,0)</x:f>
        <x:v>584</x:v>
      </x:c>
      <x:c r="J99" s="24" t="n">
        <x:f>IF(I99&gt;240,1,0)</x:f>
        <x:v>1</x:v>
      </x:c>
      <x:c r="K99" s="24" t="n">
        <x:f>IF(AND(D99&lt;&gt;"",E99&lt;&gt;"",F99&lt;&gt;""),1,0)</x:f>
        <x:v>0</x:v>
      </x:c>
      <x:c r="L99" s="27" t="str">
        <x:v>Campo importante ausente na entrada sintética.</x:v>
      </x:c>
    </x:row>
    <x:row r="100">
      <x:c r="A100" s="18" t="str">
        <x:v>CT099</x:v>
      </x:c>
      <x:c r="B100" s="21" t="n">
        <x:v>46157.67638888889</x:v>
      </x:c>
      <x:c r="C100" s="18" t="str">
        <x:v>Telefone</x:v>
      </x:c>
      <x:c r="D100" s="18" t="str">
        <x:v>CL013</x:v>
      </x:c>
      <x:c r="E100" s="18" t="str">
        <x:v>Refrigeração</x:v>
      </x:c>
      <x:c r="F100" s="18" t="str">
        <x:v>Oeste</x:v>
      </x:c>
      <x:c r="G100" s="18" t="str">
        <x:v>Alta</x:v>
      </x:c>
      <x:c r="H100" s="21" t="n">
        <x:v>46157.84027777778</x:v>
      </x:c>
      <x:c r="I100" s="24" t="n">
        <x:f>ROUND((H100-B100)*1440,0)</x:f>
        <x:v>236</x:v>
      </x:c>
      <x:c r="J100" s="24" t="n">
        <x:f>IF(I100&gt;240,1,0)</x:f>
        <x:v>0</x:v>
      </x:c>
      <x:c r="K100" s="24" t="n">
        <x:f>IF(AND(D100&lt;&gt;"",E100&lt;&gt;"",F100&lt;&gt;""),1,0)</x:f>
        <x:v>1</x:v>
      </x:c>
      <x:c r="L100" s="27" t="str">
        <x:v>Cadastro mínimo presente.</x:v>
      </x:c>
    </x:row>
    <x:row r="101">
      <x:c r="A101" s="18" t="str">
        <x:v>CT100</x:v>
      </x:c>
      <x:c r="B101" s="21" t="n">
        <x:v>46158.72708333333</x:v>
      </x:c>
      <x:c r="C101" s="18" t="str">
        <x:v>Indicação</x:v>
      </x:c>
      <x:c r="D101" s="18" t="str">
        <x:v>CL014</x:v>
      </x:c>
      <x:c r="E101" s="18" t="str">
        <x:v>Hidráulica leve</x:v>
      </x:c>
      <x:c r="F101" s="18" t="str">
        <x:v>Centro</x:v>
      </x:c>
      <x:c r="G101" s="18" t="str">
        <x:v>Não informada</x:v>
      </x:c>
      <x:c r="H101" s="21" t="n">
        <x:v>46158.88611111111</x:v>
      </x:c>
      <x:c r="I101" s="24" t="n">
        <x:f>ROUND((H101-B101)*1440,0)</x:f>
        <x:v>229</x:v>
      </x:c>
      <x:c r="J101" s="24" t="n">
        <x:f>IF(I101&gt;240,1,0)</x:f>
        <x:v>0</x:v>
      </x:c>
      <x:c r="K101" s="24" t="n">
        <x:f>IF(AND(D101&lt;&gt;"",E101&lt;&gt;"",F101&lt;&gt;""),1,0)</x:f>
        <x:v>1</x:v>
      </x:c>
      <x:c r="L101" s="27" t="str">
        <x:v>Cadastro mínimo presente.</x:v>
      </x:c>
    </x:row>
    <x:row r="102">
      <x:c r="A102" s="18" t="str">
        <x:v>CT101</x:v>
      </x:c>
      <x:c r="B102" s="21" t="n">
        <x:v>46159.36111111111</x:v>
      </x:c>
      <x:c r="C102" s="18" t="str">
        <x:v>Formulário</x:v>
      </x:c>
      <x:c r="D102" s="18" t="str">
        <x:v>CL015</x:v>
      </x:c>
      <x:c r="E102" s="18" t="str">
        <x:v>Elétrica leve</x:v>
      </x:c>
      <x:c r="F102" s="18" t="str">
        <x:v>Norte</x:v>
      </x:c>
      <x:c r="G102" s="18" t="str">
        <x:v>Baixa</x:v>
      </x:c>
      <x:c r="H102" s="21" t="n">
        <x:v>46159.48263888889</x:v>
      </x:c>
      <x:c r="I102" s="24" t="n">
        <x:f>ROUND((H102-B102)*1440,0)</x:f>
        <x:v>175</x:v>
      </x:c>
      <x:c r="J102" s="24" t="n">
        <x:f>IF(I102&gt;240,1,0)</x:f>
        <x:v>0</x:v>
      </x:c>
      <x:c r="K102" s="24" t="n">
        <x:f>IF(AND(D102&lt;&gt;"",E102&lt;&gt;"",F102&lt;&gt;""),1,0)</x:f>
        <x:v>1</x:v>
      </x:c>
      <x:c r="L102" s="27" t="str">
        <x:v>Cadastro mínimo presente.</x:v>
      </x:c>
    </x:row>
    <x:row r="103">
      <x:c r="A103" s="18" t="str">
        <x:v>CT102</x:v>
      </x:c>
      <x:c r="B103" s="21" t="n">
        <x:v>46160.41180555556</x:v>
      </x:c>
      <x:c r="C103" s="18" t="str">
        <x:v>Mensageria</x:v>
      </x:c>
      <x:c r="D103" s="18" t="str">
        <x:v>CL016</x:v>
      </x:c>
      <x:c r="E103" s="18" t="str">
        <x:v>Climatização</x:v>
      </x:c>
      <x:c r="F103" s="18" t="str"/>
      <x:c r="G103" s="18" t="str">
        <x:v>Média</x:v>
      </x:c>
      <x:c r="H103" s="21" t="n">
        <x:v>46160.66388888889</x:v>
      </x:c>
      <x:c r="I103" s="24" t="n">
        <x:f>ROUND((H103-B103)*1440,0)</x:f>
        <x:v>363</x:v>
      </x:c>
      <x:c r="J103" s="24" t="n">
        <x:f>IF(I103&gt;240,1,0)</x:f>
        <x:v>1</x:v>
      </x:c>
      <x:c r="K103" s="24" t="n">
        <x:f>IF(AND(D103&lt;&gt;"",E103&lt;&gt;"",F103&lt;&gt;""),1,0)</x:f>
        <x:v>0</x:v>
      </x:c>
      <x:c r="L103" s="27" t="str">
        <x:v>Campo importante ausente na entrada sintética.</x:v>
      </x:c>
    </x:row>
    <x:row r="104">
      <x:c r="A104" s="18" t="str">
        <x:v>CT103</x:v>
      </x:c>
      <x:c r="B104" s="21" t="n">
        <x:v>46161.42083333333</x:v>
      </x:c>
      <x:c r="C104" s="18" t="str">
        <x:v>Telefone</x:v>
      </x:c>
      <x:c r="D104" s="18" t="str"/>
      <x:c r="E104" s="18" t="str">
        <x:v>Refrigeração</x:v>
      </x:c>
      <x:c r="F104" s="18" t="str">
        <x:v>Leste</x:v>
      </x:c>
      <x:c r="G104" s="18" t="str">
        <x:v>Alta</x:v>
      </x:c>
      <x:c r="H104" s="21" t="n">
        <x:v>46161.9</x:v>
      </x:c>
      <x:c r="I104" s="24" t="n">
        <x:f>ROUND((H104-B104)*1440,0)</x:f>
        <x:v>690</x:v>
      </x:c>
      <x:c r="J104" s="24" t="n">
        <x:f>IF(I104&gt;240,1,0)</x:f>
        <x:v>1</x:v>
      </x:c>
      <x:c r="K104" s="24" t="n">
        <x:f>IF(AND(D104&lt;&gt;"",E104&lt;&gt;"",F104&lt;&gt;""),1,0)</x:f>
        <x:v>0</x:v>
      </x:c>
      <x:c r="L104" s="27" t="str">
        <x:v>Campo importante ausente na entrada sintética.</x:v>
      </x:c>
    </x:row>
    <x:row r="105">
      <x:c r="A105" s="18" t="str">
        <x:v>CT104</x:v>
      </x:c>
      <x:c r="B105" s="21" t="n">
        <x:v>46162.47152777778</x:v>
      </x:c>
      <x:c r="C105" s="18" t="str">
        <x:v>Indicação</x:v>
      </x:c>
      <x:c r="D105" s="18" t="str">
        <x:v>CL018</x:v>
      </x:c>
      <x:c r="E105" s="18" t="str"/>
      <x:c r="F105" s="18" t="str">
        <x:v>Oeste</x:v>
      </x:c>
      <x:c r="G105" s="18" t="str">
        <x:v>Não informada</x:v>
      </x:c>
      <x:c r="H105" s="21" t="n">
        <x:v>46162.811111111114</x:v>
      </x:c>
      <x:c r="I105" s="24" t="n">
        <x:f>ROUND((H105-B105)*1440,0)</x:f>
        <x:v>489</x:v>
      </x:c>
      <x:c r="J105" s="24" t="n">
        <x:f>IF(I105&gt;240,1,0)</x:f>
        <x:v>1</x:v>
      </x:c>
      <x:c r="K105" s="24" t="n">
        <x:f>IF(AND(D105&lt;&gt;"",E105&lt;&gt;"",F105&lt;&gt;""),1,0)</x:f>
        <x:v>0</x:v>
      </x:c>
      <x:c r="L105" s="27" t="str">
        <x:v>Campo importante ausente na entrada sintética.</x:v>
      </x:c>
    </x:row>
    <x:row r="106">
      <x:c r="A106" s="18" t="str">
        <x:v>CT105</x:v>
      </x:c>
      <x:c r="B106" s="21" t="n">
        <x:v>46163.52222222222</x:v>
      </x:c>
      <x:c r="C106" s="18" t="str">
        <x:v>Formulário</x:v>
      </x:c>
      <x:c r="D106" s="18" t="str">
        <x:v>CL019</x:v>
      </x:c>
      <x:c r="E106" s="18" t="str">
        <x:v>Elétrica leve</x:v>
      </x:c>
      <x:c r="F106" s="18" t="str">
        <x:v>Centro</x:v>
      </x:c>
      <x:c r="G106" s="18" t="str">
        <x:v>Baixa</x:v>
      </x:c>
      <x:c r="H106" s="21" t="n">
        <x:v>46163.68819444445</x:v>
      </x:c>
      <x:c r="I106" s="24" t="n">
        <x:f>ROUND((H106-B106)*1440,0)</x:f>
        <x:v>239</x:v>
      </x:c>
      <x:c r="J106" s="24" t="n">
        <x:f>IF(I106&gt;240,1,0)</x:f>
        <x:v>0</x:v>
      </x:c>
      <x:c r="K106" s="24" t="n">
        <x:f>IF(AND(D106&lt;&gt;"",E106&lt;&gt;"",F106&lt;&gt;""),1,0)</x:f>
        <x:v>1</x:v>
      </x:c>
      <x:c r="L106" s="27" t="str">
        <x:v>Cadastro mínimo presente.</x:v>
      </x:c>
    </x:row>
    <x:row r="107">
      <x:c r="A107" s="18" t="str">
        <x:v>CT106</x:v>
      </x:c>
      <x:c r="B107" s="21" t="n">
        <x:v>46164.572916666664</x:v>
      </x:c>
      <x:c r="C107" s="18" t="str">
        <x:v>Mensageria</x:v>
      </x:c>
      <x:c r="D107" s="18" t="str">
        <x:v>CL020</x:v>
      </x:c>
      <x:c r="E107" s="18" t="str">
        <x:v>Climatização</x:v>
      </x:c>
      <x:c r="F107" s="18" t="str">
        <x:v>Norte</x:v>
      </x:c>
      <x:c r="G107" s="18" t="str">
        <x:v>Média</x:v>
      </x:c>
      <x:c r="H107" s="21" t="n">
        <x:v>46164.68958333333</x:v>
      </x:c>
      <x:c r="I107" s="24" t="n">
        <x:f>ROUND((H107-B107)*1440,0)</x:f>
        <x:v>168</x:v>
      </x:c>
      <x:c r="J107" s="24" t="n">
        <x:f>IF(I107&gt;240,1,0)</x:f>
        <x:v>0</x:v>
      </x:c>
      <x:c r="K107" s="24" t="n">
        <x:f>IF(AND(D107&lt;&gt;"",E107&lt;&gt;"",F107&lt;&gt;""),1,0)</x:f>
        <x:v>1</x:v>
      </x:c>
      <x:c r="L107" s="27" t="str">
        <x:v>Cadastro mínimo presente.</x:v>
      </x:c>
    </x:row>
    <x:row r="108">
      <x:c r="A108" s="18" t="str">
        <x:v>CT107</x:v>
      </x:c>
      <x:c r="B108" s="21" t="n">
        <x:v>46165.623611111114</x:v>
      </x:c>
      <x:c r="C108" s="18" t="str">
        <x:v>Telefone</x:v>
      </x:c>
      <x:c r="D108" s="18" t="str">
        <x:v>CL021</x:v>
      </x:c>
      <x:c r="E108" s="18" t="str">
        <x:v>Refrigeração</x:v>
      </x:c>
      <x:c r="F108" s="18" t="str">
        <x:v>Sul</x:v>
      </x:c>
      <x:c r="G108" s="18" t="str">
        <x:v>Alta</x:v>
      </x:c>
      <x:c r="H108" s="21" t="n">
        <x:v>46165.68194444444</x:v>
      </x:c>
      <x:c r="I108" s="24" t="n">
        <x:f>ROUND((H108-B108)*1440,0)</x:f>
        <x:v>84</x:v>
      </x:c>
      <x:c r="J108" s="24" t="n">
        <x:f>IF(I108&gt;240,1,0)</x:f>
        <x:v>0</x:v>
      </x:c>
      <x:c r="K108" s="24" t="n">
        <x:f>IF(AND(D108&lt;&gt;"",E108&lt;&gt;"",F108&lt;&gt;""),1,0)</x:f>
        <x:v>1</x:v>
      </x:c>
      <x:c r="L108" s="27" t="str">
        <x:v>Cadastro mínimo presente.</x:v>
      </x:c>
    </x:row>
    <x:row r="109">
      <x:c r="A109" s="18" t="str">
        <x:v>CT108</x:v>
      </x:c>
      <x:c r="B109" s="21" t="n">
        <x:v>46166.63263888889</x:v>
      </x:c>
      <x:c r="C109" s="18" t="str">
        <x:v>Indicação</x:v>
      </x:c>
      <x:c r="D109" s="18" t="str">
        <x:v>CL022</x:v>
      </x:c>
      <x:c r="E109" s="18" t="str">
        <x:v>Hidráulica leve</x:v>
      </x:c>
      <x:c r="F109" s="18" t="str">
        <x:v>Leste</x:v>
      </x:c>
      <x:c r="G109" s="18" t="str">
        <x:v>Não informada</x:v>
      </x:c>
      <x:c r="H109" s="21" t="n">
        <x:v>46166.69513888889</x:v>
      </x:c>
      <x:c r="I109" s="24" t="n">
        <x:f>ROUND((H109-B109)*1440,0)</x:f>
        <x:v>90</x:v>
      </x:c>
      <x:c r="J109" s="24" t="n">
        <x:f>IF(I109&gt;240,1,0)</x:f>
        <x:v>0</x:v>
      </x:c>
      <x:c r="K109" s="24" t="n">
        <x:f>IF(AND(D109&lt;&gt;"",E109&lt;&gt;"",F109&lt;&gt;""),1,0)</x:f>
        <x:v>1</x:v>
      </x:c>
      <x:c r="L109" s="27" t="str">
        <x:v>Cadastro mínimo presente.</x:v>
      </x:c>
    </x:row>
    <x:row r="110">
      <x:c r="A110" s="18" t="str">
        <x:v>CT109</x:v>
      </x:c>
      <x:c r="B110" s="21" t="n">
        <x:v>46167.683333333334</x:v>
      </x:c>
      <x:c r="C110" s="18" t="str">
        <x:v>Formulário</x:v>
      </x:c>
      <x:c r="D110" s="18" t="str">
        <x:v>CL023</x:v>
      </x:c>
      <x:c r="E110" s="18" t="str">
        <x:v>Elétrica leve</x:v>
      </x:c>
      <x:c r="F110" s="18" t="str">
        <x:v>Oeste</x:v>
      </x:c>
      <x:c r="G110" s="18" t="str">
        <x:v>Baixa</x:v>
      </x:c>
      <x:c r="H110" s="21" t="n">
        <x:v>46167.84583333333</x:v>
      </x:c>
      <x:c r="I110" s="24" t="n">
        <x:f>ROUND((H110-B110)*1440,0)</x:f>
        <x:v>234</x:v>
      </x:c>
      <x:c r="J110" s="24" t="n">
        <x:f>IF(I110&gt;240,1,0)</x:f>
        <x:v>0</x:v>
      </x:c>
      <x:c r="K110" s="24" t="n">
        <x:f>IF(AND(D110&lt;&gt;"",E110&lt;&gt;"",F110&lt;&gt;""),1,0)</x:f>
        <x:v>1</x:v>
      </x:c>
      <x:c r="L110" s="27" t="str">
        <x:v>Cadastro mínimo presente.</x:v>
      </x:c>
    </x:row>
    <x:row r="111">
      <x:c r="A111" s="18" t="str">
        <x:v>CT110</x:v>
      </x:c>
      <x:c r="B111" s="21" t="n">
        <x:v>46168.73402777778</x:v>
      </x:c>
      <x:c r="C111" s="18" t="str">
        <x:v>Mensageria</x:v>
      </x:c>
      <x:c r="D111" s="18" t="str">
        <x:v>CL024</x:v>
      </x:c>
      <x:c r="E111" s="18" t="str"/>
      <x:c r="F111" s="18" t="str">
        <x:v>Centro</x:v>
      </x:c>
      <x:c r="G111" s="18" t="str">
        <x:v>Média</x:v>
      </x:c>
      <x:c r="H111" s="21" t="n">
        <x:v>46168.91875</x:v>
      </x:c>
      <x:c r="I111" s="24" t="n">
        <x:f>ROUND((H111-B111)*1440,0)</x:f>
        <x:v>266</x:v>
      </x:c>
      <x:c r="J111" s="24" t="n">
        <x:f>IF(I111&gt;240,1,0)</x:f>
        <x:v>1</x:v>
      </x:c>
      <x:c r="K111" s="24" t="n">
        <x:f>IF(AND(D111&lt;&gt;"",E111&lt;&gt;"",F111&lt;&gt;""),1,0)</x:f>
        <x:v>0</x:v>
      </x:c>
      <x:c r="L111" s="27" t="str">
        <x:v>Campo importante ausente na entrada sintética.</x:v>
      </x:c>
    </x:row>
    <x:row r="112">
      <x:c r="A112" s="18" t="str">
        <x:v>CT111</x:v>
      </x:c>
      <x:c r="B112" s="21" t="n">
        <x:v>46169.368055555555</x:v>
      </x:c>
      <x:c r="C112" s="18" t="str">
        <x:v>Telefone</x:v>
      </x:c>
      <x:c r="D112" s="18" t="str">
        <x:v>CL025</x:v>
      </x:c>
      <x:c r="E112" s="18" t="str">
        <x:v>Refrigeração</x:v>
      </x:c>
      <x:c r="F112" s="18" t="str"/>
      <x:c r="G112" s="18" t="str">
        <x:v>Alta</x:v>
      </x:c>
      <x:c r="H112" s="21" t="n">
        <x:v>46169.802777777775</x:v>
      </x:c>
      <x:c r="I112" s="24" t="n">
        <x:f>ROUND((H112-B112)*1440,0)</x:f>
        <x:v>626</x:v>
      </x:c>
      <x:c r="J112" s="24" t="n">
        <x:f>IF(I112&gt;240,1,0)</x:f>
        <x:v>1</x:v>
      </x:c>
      <x:c r="K112" s="24" t="n">
        <x:f>IF(AND(D112&lt;&gt;"",E112&lt;&gt;"",F112&lt;&gt;""),1,0)</x:f>
        <x:v>0</x:v>
      </x:c>
      <x:c r="L112" s="27" t="str">
        <x:v>Campo importante ausente na entrada sintética.</x:v>
      </x:c>
    </x:row>
    <x:row r="113">
      <x:c r="A113" s="18" t="str">
        <x:v>CT112</x:v>
      </x:c>
      <x:c r="B113" s="21" t="n">
        <x:v>46170.37708333333</x:v>
      </x:c>
      <x:c r="C113" s="18" t="str">
        <x:v>Indicação</x:v>
      </x:c>
      <x:c r="D113" s="18" t="str">
        <x:v>CL026</x:v>
      </x:c>
      <x:c r="E113" s="18" t="str">
        <x:v>Hidráulica leve</x:v>
      </x:c>
      <x:c r="F113" s="18" t="str">
        <x:v>Sul</x:v>
      </x:c>
      <x:c r="G113" s="18" t="str">
        <x:v>Não informada</x:v>
      </x:c>
      <x:c r="H113" s="21" t="n">
        <x:v>46170.54375</x:v>
      </x:c>
      <x:c r="I113" s="24" t="n">
        <x:f>ROUND((H113-B113)*1440,0)</x:f>
        <x:v>240</x:v>
      </x:c>
      <x:c r="J113" s="24" t="n">
        <x:f>IF(I113&gt;240,1,0)</x:f>
        <x:v>0</x:v>
      </x:c>
      <x:c r="K113" s="24" t="n">
        <x:f>IF(AND(D113&lt;&gt;"",E113&lt;&gt;"",F113&lt;&gt;""),1,0)</x:f>
        <x:v>1</x:v>
      </x:c>
      <x:c r="L113" s="27" t="str">
        <x:v>Cadastro mínimo presente.</x:v>
      </x:c>
    </x:row>
    <x:row r="114">
      <x:c r="A114" s="18" t="str">
        <x:v>CT113</x:v>
      </x:c>
      <x:c r="B114" s="21" t="n">
        <x:v>46143.427777777775</x:v>
      </x:c>
      <x:c r="C114" s="18" t="str">
        <x:v>Formulário</x:v>
      </x:c>
      <x:c r="D114" s="18" t="str">
        <x:v>CL027</x:v>
      </x:c>
      <x:c r="E114" s="18" t="str">
        <x:v>Elétrica leve</x:v>
      </x:c>
      <x:c r="F114" s="18" t="str">
        <x:v>Leste</x:v>
      </x:c>
      <x:c r="G114" s="18" t="str">
        <x:v>Baixa</x:v>
      </x:c>
      <x:c r="H114" s="21" t="n">
        <x:v>46143.54027777778</x:v>
      </x:c>
      <x:c r="I114" s="24" t="n">
        <x:f>ROUND((H114-B114)*1440,0)</x:f>
        <x:v>162</x:v>
      </x:c>
      <x:c r="J114" s="24" t="n">
        <x:f>IF(I114&gt;240,1,0)</x:f>
        <x:v>0</x:v>
      </x:c>
      <x:c r="K114" s="24" t="n">
        <x:f>IF(AND(D114&lt;&gt;"",E114&lt;&gt;"",F114&lt;&gt;""),1,0)</x:f>
        <x:v>1</x:v>
      </x:c>
      <x:c r="L114" s="27" t="str">
        <x:v>Cadastro mínimo presente.</x:v>
      </x:c>
    </x:row>
    <x:row r="115">
      <x:c r="A115" s="18" t="str">
        <x:v>CT114</x:v>
      </x:c>
      <x:c r="B115" s="21" t="n">
        <x:v>46144.478472222225</x:v>
      </x:c>
      <x:c r="C115" s="18" t="str">
        <x:v>Mensageria</x:v>
      </x:c>
      <x:c r="D115" s="18" t="str">
        <x:v>CL028</x:v>
      </x:c>
      <x:c r="E115" s="18" t="str">
        <x:v>Climatização</x:v>
      </x:c>
      <x:c r="F115" s="18" t="str">
        <x:v>Oeste</x:v>
      </x:c>
      <x:c r="G115" s="18" t="str">
        <x:v>Média</x:v>
      </x:c>
      <x:c r="H115" s="21" t="n">
        <x:v>46144.520833333336</x:v>
      </x:c>
      <x:c r="I115" s="24" t="n">
        <x:f>ROUND((H115-B115)*1440,0)</x:f>
        <x:v>61</x:v>
      </x:c>
      <x:c r="J115" s="24" t="n">
        <x:f>IF(I115&gt;240,1,0)</x:f>
        <x:v>0</x:v>
      </x:c>
      <x:c r="K115" s="24" t="n">
        <x:f>IF(AND(D115&lt;&gt;"",E115&lt;&gt;"",F115&lt;&gt;""),1,0)</x:f>
        <x:v>1</x:v>
      </x:c>
      <x:c r="L115" s="27" t="str">
        <x:v>Cadastro mínimo presente.</x:v>
      </x:c>
    </x:row>
    <x:row r="116">
      <x:c r="A116" s="18" t="str">
        <x:v>CT115</x:v>
      </x:c>
      <x:c r="B116" s="21" t="n">
        <x:v>46145.52916666667</x:v>
      </x:c>
      <x:c r="C116" s="18" t="str">
        <x:v>Telefone</x:v>
      </x:c>
      <x:c r="D116" s="18" t="str">
        <x:v>CL029</x:v>
      </x:c>
      <x:c r="E116" s="18" t="str">
        <x:v>Refrigeração</x:v>
      </x:c>
      <x:c r="F116" s="18" t="str">
        <x:v>Centro</x:v>
      </x:c>
      <x:c r="G116" s="18" t="str">
        <x:v>Alta</x:v>
      </x:c>
      <x:c r="H116" s="21" t="n">
        <x:v>46145.62222222222</x:v>
      </x:c>
      <x:c r="I116" s="24" t="n">
        <x:f>ROUND((H116-B116)*1440,0)</x:f>
        <x:v>134</x:v>
      </x:c>
      <x:c r="J116" s="24" t="n">
        <x:f>IF(I116&gt;240,1,0)</x:f>
        <x:v>0</x:v>
      </x:c>
      <x:c r="K116" s="24" t="n">
        <x:f>IF(AND(D116&lt;&gt;"",E116&lt;&gt;"",F116&lt;&gt;""),1,0)</x:f>
        <x:v>1</x:v>
      </x:c>
      <x:c r="L116" s="27" t="str">
        <x:v>Cadastro mínimo presente.</x:v>
      </x:c>
    </x:row>
    <x:row r="117">
      <x:c r="A117" s="18" t="str">
        <x:v>CT116</x:v>
      </x:c>
      <x:c r="B117" s="21" t="n">
        <x:v>46146.57986111111</x:v>
      </x:c>
      <x:c r="C117" s="18" t="str">
        <x:v>Indicação</x:v>
      </x:c>
      <x:c r="D117" s="18" t="str">
        <x:v>CL030</x:v>
      </x:c>
      <x:c r="E117" s="18" t="str">
        <x:v>Hidráulica leve</x:v>
      </x:c>
      <x:c r="F117" s="18" t="str">
        <x:v>Norte</x:v>
      </x:c>
      <x:c r="G117" s="18" t="str">
        <x:v>Não informada</x:v>
      </x:c>
      <x:c r="H117" s="21" t="n">
        <x:v>46146.74166666667</x:v>
      </x:c>
      <x:c r="I117" s="24" t="n">
        <x:f>ROUND((H117-B117)*1440,0)</x:f>
        <x:v>233</x:v>
      </x:c>
      <x:c r="J117" s="24" t="n">
        <x:f>IF(I117&gt;240,1,0)</x:f>
        <x:v>0</x:v>
      </x:c>
      <x:c r="K117" s="24" t="n">
        <x:f>IF(AND(D117&lt;&gt;"",E117&lt;&gt;"",F117&lt;&gt;""),1,0)</x:f>
        <x:v>1</x:v>
      </x:c>
      <x:c r="L117" s="27" t="str">
        <x:v>Cadastro mínimo presente.</x:v>
      </x:c>
    </x:row>
    <x:row r="118">
      <x:c r="A118" s="18" t="str">
        <x:v>CT117</x:v>
      </x:c>
      <x:c r="B118" s="21" t="n">
        <x:v>46147.58888888889</x:v>
      </x:c>
      <x:c r="C118" s="18" t="str">
        <x:v>Formulário</x:v>
      </x:c>
      <x:c r="D118" s="18" t="str">
        <x:v>CL031</x:v>
      </x:c>
      <x:c r="E118" s="18" t="str">
        <x:v>Elétrica leve</x:v>
      </x:c>
      <x:c r="F118" s="18" t="str">
        <x:v>Sul</x:v>
      </x:c>
      <x:c r="G118" s="18" t="str">
        <x:v>Baixa</x:v>
      </x:c>
      <x:c r="H118" s="21" t="n">
        <x:v>46147.71388888889</x:v>
      </x:c>
      <x:c r="I118" s="24" t="n">
        <x:f>ROUND((H118-B118)*1440,0)</x:f>
        <x:v>180</x:v>
      </x:c>
      <x:c r="J118" s="24" t="n">
        <x:f>IF(I118&gt;240,1,0)</x:f>
        <x:v>0</x:v>
      </x:c>
      <x:c r="K118" s="24" t="n">
        <x:f>IF(AND(D118&lt;&gt;"",E118&lt;&gt;"",F118&lt;&gt;""),1,0)</x:f>
        <x:v>1</x:v>
      </x:c>
      <x:c r="L118" s="27" t="str">
        <x:v>Cadastro mínimo presente.</x:v>
      </x:c>
    </x:row>
    <x:row r="119">
      <x:c r="A119" s="18" t="str">
        <x:v>CT118</x:v>
      </x:c>
      <x:c r="B119" s="21" t="n">
        <x:v>46148.63958333333</x:v>
      </x:c>
      <x:c r="C119" s="18" t="str">
        <x:v>Mensageria</x:v>
      </x:c>
      <x:c r="D119" s="18" t="str">
        <x:v>CL032</x:v>
      </x:c>
      <x:c r="E119" s="18" t="str">
        <x:v>Climatização</x:v>
      </x:c>
      <x:c r="F119" s="18" t="str">
        <x:v>Leste</x:v>
      </x:c>
      <x:c r="G119" s="18" t="str">
        <x:v>Média</x:v>
      </x:c>
      <x:c r="H119" s="21" t="n">
        <x:v>46148.8</x:v>
      </x:c>
      <x:c r="I119" s="24" t="n">
        <x:f>ROUND((H119-B119)*1440,0)</x:f>
        <x:v>231</x:v>
      </x:c>
      <x:c r="J119" s="24" t="n">
        <x:f>IF(I119&gt;240,1,0)</x:f>
        <x:v>0</x:v>
      </x:c>
      <x:c r="K119" s="24" t="n">
        <x:f>IF(AND(D119&lt;&gt;"",E119&lt;&gt;"",F119&lt;&gt;""),1,0)</x:f>
        <x:v>1</x:v>
      </x:c>
      <x:c r="L119" s="27" t="str">
        <x:v>Cadastro mínimo presente.</x:v>
      </x:c>
    </x:row>
    <x:row r="120">
      <x:c r="A120" s="18" t="str">
        <x:v>CT119</x:v>
      </x:c>
      <x:c r="B120" s="21" t="n">
        <x:v>46149.69027777778</x:v>
      </x:c>
      <x:c r="C120" s="18" t="str">
        <x:v>Telefone</x:v>
      </x:c>
      <x:c r="D120" s="18" t="str">
        <x:v>CL033</x:v>
      </x:c>
      <x:c r="E120" s="18" t="str">
        <x:v>Refrigeração</x:v>
      </x:c>
      <x:c r="F120" s="18" t="str">
        <x:v>Oeste</x:v>
      </x:c>
      <x:c r="G120" s="18" t="str">
        <x:v>Alta</x:v>
      </x:c>
      <x:c r="H120" s="21" t="n">
        <x:v>46149.75833333333</x:v>
      </x:c>
      <x:c r="I120" s="24" t="n">
        <x:f>ROUND((H120-B120)*1440,0)</x:f>
        <x:v>98</x:v>
      </x:c>
      <x:c r="J120" s="24" t="n">
        <x:f>IF(I120&gt;240,1,0)</x:f>
        <x:v>0</x:v>
      </x:c>
      <x:c r="K120" s="24" t="n">
        <x:f>IF(AND(D120&lt;&gt;"",E120&lt;&gt;"",F120&lt;&gt;""),1,0)</x:f>
        <x:v>1</x:v>
      </x:c>
      <x:c r="L120" s="27" t="str">
        <x:v>Cadastro mínimo presente.</x:v>
      </x:c>
    </x:row>
    <x:row r="121">
      <x:c r="A121" s="18" t="str">
        <x:v>CT120</x:v>
      </x:c>
      <x:c r="B121" s="21" t="n">
        <x:v>46150.74097222222</x:v>
      </x:c>
      <x:c r="C121" s="18" t="str">
        <x:v>Indicação</x:v>
      </x:c>
      <x:c r="D121" s="18" t="str">
        <x:v>CL034</x:v>
      </x:c>
      <x:c r="E121" s="18" t="str">
        <x:v>Hidráulica leve</x:v>
      </x:c>
      <x:c r="F121" s="18" t="str">
        <x:v>Centro</x:v>
      </x:c>
      <x:c r="G121" s="18" t="str">
        <x:v>Não informada</x:v>
      </x:c>
      <x:c r="H121" s="21" t="n">
        <x:v>46151.05138888889</x:v>
      </x:c>
      <x:c r="I121" s="24" t="n">
        <x:f>ROUND((H121-B121)*1440,0)</x:f>
        <x:v>447</x:v>
      </x:c>
      <x:c r="J121" s="24" t="n">
        <x:f>IF(I121&gt;240,1,0)</x:f>
        <x:v>1</x:v>
      </x:c>
      <x:c r="K121" s="24" t="n">
        <x:f>IF(AND(D121&lt;&gt;"",E121&lt;&gt;"",F121&lt;&gt;""),1,0)</x:f>
        <x:v>1</x:v>
      </x:c>
      <x:c r="L121" s="27" t="str">
        <x:v>Cadastro mínimo presente.</x:v>
      </x:c>
    </x:row>
    <x:row r="122">
      <x:c r="A122" s="18" t="str">
        <x:v>CT121</x:v>
      </x:c>
      <x:c r="B122" s="21" t="n">
        <x:v>46151.333333333336</x:v>
      </x:c>
      <x:c r="C122" s="18" t="str">
        <x:v>Formulário</x:v>
      </x:c>
      <x:c r="D122" s="18" t="str">
        <x:v>CL035</x:v>
      </x:c>
      <x:c r="E122" s="18" t="str">
        <x:v>Elétrica leve</x:v>
      </x:c>
      <x:c r="F122" s="18" t="str">
        <x:v>Norte</x:v>
      </x:c>
      <x:c r="G122" s="18" t="str">
        <x:v>Baixa</x:v>
      </x:c>
      <x:c r="H122" s="21" t="n">
        <x:v>46151.49722222222</x:v>
      </x:c>
      <x:c r="I122" s="24" t="n">
        <x:f>ROUND((H122-B122)*1440,0)</x:f>
        <x:v>236</x:v>
      </x:c>
      <x:c r="J122" s="24" t="n">
        <x:f>IF(I122&gt;240,1,0)</x:f>
        <x:v>0</x:v>
      </x:c>
      <x:c r="K122" s="24" t="n">
        <x:f>IF(AND(D122&lt;&gt;"",E122&lt;&gt;"",F122&lt;&gt;""),1,0)</x:f>
        <x:v>1</x:v>
      </x:c>
      <x:c r="L122" s="27" t="str">
        <x:v>Cadastro mínimo presente.</x:v>
      </x:c>
    </x:row>
    <x:row r="123">
      <x:c r="A123" s="18" t="str">
        <x:v>CT122</x:v>
      </x:c>
      <x:c r="B123" s="21" t="n">
        <x:v>46152.38402777778</x:v>
      </x:c>
      <x:c r="C123" s="18" t="str">
        <x:v>Mensageria</x:v>
      </x:c>
      <x:c r="D123" s="18" t="str">
        <x:v>CL036</x:v>
      </x:c>
      <x:c r="E123" s="18" t="str">
        <x:v>Climatização</x:v>
      </x:c>
      <x:c r="F123" s="18" t="str">
        <x:v>Sul</x:v>
      </x:c>
      <x:c r="G123" s="18" t="str">
        <x:v>Média</x:v>
      </x:c>
      <x:c r="H123" s="21" t="n">
        <x:v>46152.71597222222</x:v>
      </x:c>
      <x:c r="I123" s="24" t="n">
        <x:f>ROUND((H123-B123)*1440,0)</x:f>
        <x:v>478</x:v>
      </x:c>
      <x:c r="J123" s="24" t="n">
        <x:f>IF(I123&gt;240,1,0)</x:f>
        <x:v>1</x:v>
      </x:c>
      <x:c r="K123" s="24" t="n">
        <x:f>IF(AND(D123&lt;&gt;"",E123&lt;&gt;"",F123&lt;&gt;""),1,0)</x:f>
        <x:v>1</x:v>
      </x:c>
      <x:c r="L123" s="27" t="str">
        <x:v>Cadastro mínimo presente.</x:v>
      </x:c>
    </x:row>
    <x:row r="124">
      <x:c r="A124" s="18" t="str">
        <x:v>CT123</x:v>
      </x:c>
      <x:c r="B124" s="21" t="n">
        <x:v>46153.43472222222</x:v>
      </x:c>
      <x:c r="C124" s="18" t="str">
        <x:v>Telefone</x:v>
      </x:c>
      <x:c r="D124" s="18" t="str">
        <x:v>CL037</x:v>
      </x:c>
      <x:c r="E124" s="18" t="str">
        <x:v>Refrigeração</x:v>
      </x:c>
      <x:c r="F124" s="18" t="str">
        <x:v>Leste</x:v>
      </x:c>
      <x:c r="G124" s="18" t="str">
        <x:v>Alta</x:v>
      </x:c>
      <x:c r="H124" s="21" t="n">
        <x:v>46153.51944444444</x:v>
      </x:c>
      <x:c r="I124" s="24" t="n">
        <x:f>ROUND((H124-B124)*1440,0)</x:f>
        <x:v>122</x:v>
      </x:c>
      <x:c r="J124" s="24" t="n">
        <x:f>IF(I124&gt;240,1,0)</x:f>
        <x:v>0</x:v>
      </x:c>
      <x:c r="K124" s="24" t="n">
        <x:f>IF(AND(D124&lt;&gt;"",E124&lt;&gt;"",F124&lt;&gt;""),1,0)</x:f>
        <x:v>1</x:v>
      </x:c>
      <x:c r="L124" s="27" t="str">
        <x:v>Cadastro mínimo presente.</x:v>
      </x:c>
    </x:row>
    <x:row r="125">
      <x:c r="A125" s="18" t="str">
        <x:v>CT124</x:v>
      </x:c>
      <x:c r="B125" s="21" t="n">
        <x:v>46154.48541666667</x:v>
      </x:c>
      <x:c r="C125" s="18" t="str">
        <x:v>Indicação</x:v>
      </x:c>
      <x:c r="D125" s="18" t="str">
        <x:v>CL038</x:v>
      </x:c>
      <x:c r="E125" s="18" t="str">
        <x:v>Hidráulica leve</x:v>
      </x:c>
      <x:c r="F125" s="18" t="str">
        <x:v>Oeste</x:v>
      </x:c>
      <x:c r="G125" s="18" t="str">
        <x:v>Não informada</x:v>
      </x:c>
      <x:c r="H125" s="21" t="n">
        <x:v>46154.645833333336</x:v>
      </x:c>
      <x:c r="I125" s="24" t="n">
        <x:f>ROUND((H125-B125)*1440,0)</x:f>
        <x:v>231</x:v>
      </x:c>
      <x:c r="J125" s="24" t="n">
        <x:f>IF(I125&gt;240,1,0)</x:f>
        <x:v>0</x:v>
      </x:c>
      <x:c r="K125" s="24" t="n">
        <x:f>IF(AND(D125&lt;&gt;"",E125&lt;&gt;"",F125&lt;&gt;""),1,0)</x:f>
        <x:v>1</x:v>
      </x:c>
      <x:c r="L125" s="27" t="str">
        <x:v>Cadastro mínimo presente.</x:v>
      </x:c>
    </x:row>
    <x:row r="126">
      <x:c r="A126" s="18" t="str">
        <x:v>CT125</x:v>
      </x:c>
      <x:c r="B126" s="21" t="n">
        <x:v>46155.53611111111</x:v>
      </x:c>
      <x:c r="C126" s="18" t="str">
        <x:v>Formulário</x:v>
      </x:c>
      <x:c r="D126" s="18" t="str">
        <x:v>CL039</x:v>
      </x:c>
      <x:c r="E126" s="18" t="str">
        <x:v>Elétrica leve</x:v>
      </x:c>
      <x:c r="F126" s="18" t="str">
        <x:v>Centro</x:v>
      </x:c>
      <x:c r="G126" s="18" t="str">
        <x:v>Baixa</x:v>
      </x:c>
      <x:c r="H126" s="21" t="n">
        <x:v>46155.68402777778</x:v>
      </x:c>
      <x:c r="I126" s="24" t="n">
        <x:f>ROUND((H126-B126)*1440,0)</x:f>
        <x:v>213</x:v>
      </x:c>
      <x:c r="J126" s="24" t="n">
        <x:f>IF(I126&gt;240,1,0)</x:f>
        <x:v>0</x:v>
      </x:c>
      <x:c r="K126" s="24" t="n">
        <x:f>IF(AND(D126&lt;&gt;"",E126&lt;&gt;"",F126&lt;&gt;""),1,0)</x:f>
        <x:v>1</x:v>
      </x:c>
      <x:c r="L126" s="27" t="str">
        <x:v>Cadastro mínimo presente.</x:v>
      </x:c>
    </x:row>
    <x:row r="127">
      <x:c r="A127" s="18" t="str">
        <x:v>CT126</x:v>
      </x:c>
      <x:c r="B127" s="21" t="n">
        <x:v>46156.54513888889</x:v>
      </x:c>
      <x:c r="C127" s="18" t="str">
        <x:v>Mensageria</x:v>
      </x:c>
      <x:c r="D127" s="18" t="str">
        <x:v>CL040</x:v>
      </x:c>
      <x:c r="E127" s="18" t="str">
        <x:v>Climatização</x:v>
      </x:c>
      <x:c r="F127" s="18" t="str">
        <x:v>Norte</x:v>
      </x:c>
      <x:c r="G127" s="18" t="str">
        <x:v>Média</x:v>
      </x:c>
      <x:c r="H127" s="21" t="n">
        <x:v>46156.70972222222</x:v>
      </x:c>
      <x:c r="I127" s="24" t="n">
        <x:f>ROUND((H127-B127)*1440,0)</x:f>
        <x:v>237</x:v>
      </x:c>
      <x:c r="J127" s="24" t="n">
        <x:f>IF(I127&gt;240,1,0)</x:f>
        <x:v>0</x:v>
      </x:c>
      <x:c r="K127" s="24" t="n">
        <x:f>IF(AND(D127&lt;&gt;"",E127&lt;&gt;"",F127&lt;&gt;""),1,0)</x:f>
        <x:v>1</x:v>
      </x:c>
      <x:c r="L127" s="27" t="str">
        <x:v>Cadastro mínimo presente.</x:v>
      </x:c>
    </x:row>
    <x:row r="128">
      <x:c r="A128" s="18" t="str">
        <x:v>CT127</x:v>
      </x:c>
      <x:c r="B128" s="21" t="n">
        <x:v>46157.59583333333</x:v>
      </x:c>
      <x:c r="C128" s="18" t="str">
        <x:v>Telefone</x:v>
      </x:c>
      <x:c r="D128" s="18" t="str">
        <x:v>CL041</x:v>
      </x:c>
      <x:c r="E128" s="18" t="str">
        <x:v>Refrigeração</x:v>
      </x:c>
      <x:c r="F128" s="18" t="str">
        <x:v>Sul</x:v>
      </x:c>
      <x:c r="G128" s="18" t="str">
        <x:v>Alta</x:v>
      </x:c>
      <x:c r="H128" s="21" t="n">
        <x:v>46158.038194444445</x:v>
      </x:c>
      <x:c r="I128" s="24" t="n">
        <x:f>ROUND((H128-B128)*1440,0)</x:f>
        <x:v>637</x:v>
      </x:c>
      <x:c r="J128" s="24" t="n">
        <x:f>IF(I128&gt;240,1,0)</x:f>
        <x:v>1</x:v>
      </x:c>
      <x:c r="K128" s="24" t="n">
        <x:f>IF(AND(D128&lt;&gt;"",E128&lt;&gt;"",F128&lt;&gt;""),1,0)</x:f>
        <x:v>1</x:v>
      </x:c>
      <x:c r="L128" s="27" t="str">
        <x:v>Cadastro mínimo presente.</x:v>
      </x:c>
    </x:row>
    <x:row r="129">
      <x:c r="A129" s="18" t="str">
        <x:v>CT128</x:v>
      </x:c>
      <x:c r="B129" s="21" t="n">
        <x:v>46158.646527777775</x:v>
      </x:c>
      <x:c r="C129" s="18" t="str">
        <x:v>Indicação</x:v>
      </x:c>
      <x:c r="D129" s="18" t="str">
        <x:v>CL042</x:v>
      </x:c>
      <x:c r="E129" s="18" t="str">
        <x:v>Hidráulica leve</x:v>
      </x:c>
      <x:c r="F129" s="18" t="str">
        <x:v>Leste</x:v>
      </x:c>
      <x:c r="G129" s="18" t="str">
        <x:v>Não informada</x:v>
      </x:c>
      <x:c r="H129" s="21" t="n">
        <x:v>46158.67916666667</x:v>
      </x:c>
      <x:c r="I129" s="24" t="n">
        <x:f>ROUND((H129-B129)*1440,0)</x:f>
        <x:v>47</x:v>
      </x:c>
      <x:c r="J129" s="24" t="n">
        <x:f>IF(I129&gt;240,1,0)</x:f>
        <x:v>0</x:v>
      </x:c>
      <x:c r="K129" s="24" t="n">
        <x:f>IF(AND(D129&lt;&gt;"",E129&lt;&gt;"",F129&lt;&gt;""),1,0)</x:f>
        <x:v>1</x:v>
      </x:c>
      <x:c r="L129" s="27" t="str">
        <x:v>Cadastro mínimo presente.</x:v>
      </x:c>
    </x:row>
    <x:row r="130">
      <x:c r="A130" s="18" t="str">
        <x:v>CT129</x:v>
      </x:c>
      <x:c r="B130" s="21" t="n">
        <x:v>46159.697222222225</x:v>
      </x:c>
      <x:c r="C130" s="18" t="str">
        <x:v>Formulário</x:v>
      </x:c>
      <x:c r="D130" s="18" t="str">
        <x:v>CL043</x:v>
      </x:c>
      <x:c r="E130" s="18" t="str">
        <x:v>Elétrica leve</x:v>
      </x:c>
      <x:c r="F130" s="18" t="str">
        <x:v>Oeste</x:v>
      </x:c>
      <x:c r="G130" s="18" t="str">
        <x:v>Baixa</x:v>
      </x:c>
      <x:c r="H130" s="21" t="n">
        <x:v>46159.7875</x:v>
      </x:c>
      <x:c r="I130" s="24" t="n">
        <x:f>ROUND((H130-B130)*1440,0)</x:f>
        <x:v>130</x:v>
      </x:c>
      <x:c r="J130" s="24" t="n">
        <x:f>IF(I130&gt;240,1,0)</x:f>
        <x:v>0</x:v>
      </x:c>
      <x:c r="K130" s="24" t="n">
        <x:f>IF(AND(D130&lt;&gt;"",E130&lt;&gt;"",F130&lt;&gt;""),1,0)</x:f>
        <x:v>1</x:v>
      </x:c>
      <x:c r="L130" s="27" t="str">
        <x:v>Cadastro mínimo presente.</x:v>
      </x:c>
    </x:row>
    <x:row r="131">
      <x:c r="A131" s="18" t="str">
        <x:v>CT130</x:v>
      </x:c>
      <x:c r="B131" s="21" t="n">
        <x:v>46160.74791666667</x:v>
      </x:c>
      <x:c r="C131" s="18" t="str">
        <x:v>Mensageria</x:v>
      </x:c>
      <x:c r="D131" s="18" t="str">
        <x:v>CL044</x:v>
      </x:c>
      <x:c r="E131" s="18" t="str">
        <x:v>Climatização</x:v>
      </x:c>
      <x:c r="F131" s="18" t="str">
        <x:v>Centro</x:v>
      </x:c>
      <x:c r="G131" s="18" t="str">
        <x:v>Média</x:v>
      </x:c>
      <x:c r="H131" s="21" t="n">
        <x:v>46160.85</x:v>
      </x:c>
      <x:c r="I131" s="24" t="n">
        <x:f>ROUND((H131-B131)*1440,0)</x:f>
        <x:v>147</x:v>
      </x:c>
      <x:c r="J131" s="24" t="n">
        <x:f>IF(I131&gt;240,1,0)</x:f>
        <x:v>0</x:v>
      </x:c>
      <x:c r="K131" s="24" t="n">
        <x:f>IF(AND(D131&lt;&gt;"",E131&lt;&gt;"",F131&lt;&gt;""),1,0)</x:f>
        <x:v>1</x:v>
      </x:c>
      <x:c r="L131" s="27" t="str">
        <x:v>Cadastro mínimo presente.</x:v>
      </x:c>
    </x:row>
    <x:row r="132">
      <x:c r="A132" s="18" t="str">
        <x:v>CT131</x:v>
      </x:c>
      <x:c r="B132" s="21" t="n">
        <x:v>46161.34027777778</x:v>
      </x:c>
      <x:c r="C132" s="18" t="str">
        <x:v>Telefone</x:v>
      </x:c>
      <x:c r="D132" s="18" t="str">
        <x:v>CL045</x:v>
      </x:c>
      <x:c r="E132" s="18" t="str">
        <x:v>Refrigeração</x:v>
      </x:c>
      <x:c r="F132" s="18" t="str">
        <x:v>Norte</x:v>
      </x:c>
      <x:c r="G132" s="18" t="str">
        <x:v>Alta</x:v>
      </x:c>
      <x:c r="H132" s="21" t="n">
        <x:v>46161.39375</x:v>
      </x:c>
      <x:c r="I132" s="24" t="n">
        <x:f>ROUND((H132-B132)*1440,0)</x:f>
        <x:v>77</x:v>
      </x:c>
      <x:c r="J132" s="24" t="n">
        <x:f>IF(I132&gt;240,1,0)</x:f>
        <x:v>0</x:v>
      </x:c>
      <x:c r="K132" s="24" t="n">
        <x:f>IF(AND(D132&lt;&gt;"",E132&lt;&gt;"",F132&lt;&gt;""),1,0)</x:f>
        <x:v>1</x:v>
      </x:c>
      <x:c r="L132" s="27" t="str">
        <x:v>Cadastro mínimo presente.</x:v>
      </x:c>
    </x:row>
    <x:row r="133">
      <x:c r="A133" s="18" t="str">
        <x:v>CT132</x:v>
      </x:c>
      <x:c r="B133" s="21" t="n">
        <x:v>46162.39097222222</x:v>
      </x:c>
      <x:c r="C133" s="18" t="str">
        <x:v>Indicação</x:v>
      </x:c>
      <x:c r="D133" s="18" t="str">
        <x:v>CL046</x:v>
      </x:c>
      <x:c r="E133" s="18" t="str">
        <x:v>Hidráulica leve</x:v>
      </x:c>
      <x:c r="F133" s="18" t="str">
        <x:v>Sul</x:v>
      </x:c>
      <x:c r="G133" s="18" t="str">
        <x:v>Não informada</x:v>
      </x:c>
      <x:c r="H133" s="21" t="n">
        <x:v>46162.81180555555</x:v>
      </x:c>
      <x:c r="I133" s="24" t="n">
        <x:f>ROUND((H133-B133)*1440,0)</x:f>
        <x:v>606</x:v>
      </x:c>
      <x:c r="J133" s="24" t="n">
        <x:f>IF(I133&gt;240,1,0)</x:f>
        <x:v>1</x:v>
      </x:c>
      <x:c r="K133" s="24" t="n">
        <x:f>IF(AND(D133&lt;&gt;"",E133&lt;&gt;"",F133&lt;&gt;""),1,0)</x:f>
        <x:v>1</x:v>
      </x:c>
      <x:c r="L133" s="27" t="str">
        <x:v>Cadastro mínimo presente.</x:v>
      </x:c>
    </x:row>
    <x:row r="134">
      <x:c r="A134" s="18" t="str">
        <x:v>CT133</x:v>
      </x:c>
      <x:c r="B134" s="21" t="n">
        <x:v>46163.441666666666</x:v>
      </x:c>
      <x:c r="C134" s="18" t="str">
        <x:v>Formulário</x:v>
      </x:c>
      <x:c r="D134" s="18" t="str">
        <x:v>CL047</x:v>
      </x:c>
      <x:c r="E134" s="18" t="str">
        <x:v>Elétrica leve</x:v>
      </x:c>
      <x:c r="F134" s="18" t="str">
        <x:v>Leste</x:v>
      </x:c>
      <x:c r="G134" s="18" t="str">
        <x:v>Baixa</x:v>
      </x:c>
      <x:c r="H134" s="21" t="n">
        <x:v>46163.540972222225</x:v>
      </x:c>
      <x:c r="I134" s="24" t="n">
        <x:f>ROUND((H134-B134)*1440,0)</x:f>
        <x:v>143</x:v>
      </x:c>
      <x:c r="J134" s="24" t="n">
        <x:f>IF(I134&gt;240,1,0)</x:f>
        <x:v>0</x:v>
      </x:c>
      <x:c r="K134" s="24" t="n">
        <x:f>IF(AND(D134&lt;&gt;"",E134&lt;&gt;"",F134&lt;&gt;""),1,0)</x:f>
        <x:v>1</x:v>
      </x:c>
      <x:c r="L134" s="27" t="str">
        <x:v>Cadastro mínimo presente.</x:v>
      </x:c>
    </x:row>
    <x:row r="135">
      <x:c r="A135" s="18" t="str">
        <x:v>CT134</x:v>
      </x:c>
      <x:c r="B135" s="21" t="n">
        <x:v>46164.49236111111</x:v>
      </x:c>
      <x:c r="C135" s="18" t="str">
        <x:v>Mensageria</x:v>
      </x:c>
      <x:c r="D135" s="18" t="str">
        <x:v>CL048</x:v>
      </x:c>
      <x:c r="E135" s="18" t="str">
        <x:v>Climatização</x:v>
      </x:c>
      <x:c r="F135" s="18" t="str">
        <x:v>Oeste</x:v>
      </x:c>
      <x:c r="G135" s="18" t="str">
        <x:v>Média</x:v>
      </x:c>
      <x:c r="H135" s="21" t="n">
        <x:v>46164.65069444444</x:v>
      </x:c>
      <x:c r="I135" s="24" t="n">
        <x:f>ROUND((H135-B135)*1440,0)</x:f>
        <x:v>228</x:v>
      </x:c>
      <x:c r="J135" s="24" t="n">
        <x:f>IF(I135&gt;240,1,0)</x:f>
        <x:v>0</x:v>
      </x:c>
      <x:c r="K135" s="24" t="n">
        <x:f>IF(AND(D135&lt;&gt;"",E135&lt;&gt;"",F135&lt;&gt;""),1,0)</x:f>
        <x:v>1</x:v>
      </x:c>
      <x:c r="L135" s="27" t="str">
        <x:v>Cadastro mínimo presente.</x:v>
      </x:c>
    </x:row>
    <x:row r="136">
      <x:c r="A136" s="18" t="str">
        <x:v>CT135</x:v>
      </x:c>
      <x:c r="B136" s="21" t="n">
        <x:v>46165.501388888886</x:v>
      </x:c>
      <x:c r="C136" s="18" t="str">
        <x:v>Telefone</x:v>
      </x:c>
      <x:c r="D136" s="18" t="str">
        <x:v>CL049</x:v>
      </x:c>
      <x:c r="E136" s="18" t="str">
        <x:v>Refrigeração</x:v>
      </x:c>
      <x:c r="F136" s="18" t="str">
        <x:v>Centro</x:v>
      </x:c>
      <x:c r="G136" s="18" t="str">
        <x:v>Alta</x:v>
      </x:c>
      <x:c r="H136" s="21" t="n">
        <x:v>46165.665972222225</x:v>
      </x:c>
      <x:c r="I136" s="24" t="n">
        <x:f>ROUND((H136-B136)*1440,0)</x:f>
        <x:v>237</x:v>
      </x:c>
      <x:c r="J136" s="24" t="n">
        <x:f>IF(I136&gt;240,1,0)</x:f>
        <x:v>0</x:v>
      </x:c>
      <x:c r="K136" s="24" t="n">
        <x:f>IF(AND(D136&lt;&gt;"",E136&lt;&gt;"",F136&lt;&gt;""),1,0)</x:f>
        <x:v>1</x:v>
      </x:c>
      <x:c r="L136" s="27" t="str">
        <x:v>Cadastro mínimo presente.</x:v>
      </x:c>
    </x:row>
    <x:row r="137">
      <x:c r="A137" s="18" t="str">
        <x:v>CT136</x:v>
      </x:c>
      <x:c r="B137" s="21" t="n">
        <x:v>46166.552083333336</x:v>
      </x:c>
      <x:c r="C137" s="18" t="str">
        <x:v>Indicação</x:v>
      </x:c>
      <x:c r="D137" s="18" t="str">
        <x:v>CL050</x:v>
      </x:c>
      <x:c r="E137" s="18" t="str">
        <x:v>Hidráulica leve</x:v>
      </x:c>
      <x:c r="F137" s="18" t="str">
        <x:v>Norte</x:v>
      </x:c>
      <x:c r="G137" s="18" t="str">
        <x:v>Não informada</x:v>
      </x:c>
      <x:c r="H137" s="21" t="n">
        <x:v>46166.59930555556</x:v>
      </x:c>
      <x:c r="I137" s="24" t="n">
        <x:f>ROUND((H137-B137)*1440,0)</x:f>
        <x:v>68</x:v>
      </x:c>
      <x:c r="J137" s="24" t="n">
        <x:f>IF(I137&gt;240,1,0)</x:f>
        <x:v>0</x:v>
      </x:c>
      <x:c r="K137" s="24" t="n">
        <x:f>IF(AND(D137&lt;&gt;"",E137&lt;&gt;"",F137&lt;&gt;""),1,0)</x:f>
        <x:v>1</x:v>
      </x:c>
      <x:c r="L137" s="27" t="str">
        <x:v>Cadastro mínimo presente.</x:v>
      </x:c>
    </x:row>
    <x:row r="138">
      <x:c r="A138" s="18" t="str">
        <x:v>CT137</x:v>
      </x:c>
      <x:c r="B138" s="21" t="n">
        <x:v>46167.60277777778</x:v>
      </x:c>
      <x:c r="C138" s="18" t="str">
        <x:v>Formulário</x:v>
      </x:c>
      <x:c r="D138" s="18" t="str">
        <x:v>CL051</x:v>
      </x:c>
      <x:c r="E138" s="18" t="str">
        <x:v>Elétrica leve</x:v>
      </x:c>
      <x:c r="F138" s="18" t="str">
        <x:v>Sul</x:v>
      </x:c>
      <x:c r="G138" s="18" t="str">
        <x:v>Baixa</x:v>
      </x:c>
      <x:c r="H138" s="21" t="n">
        <x:v>46167.76388888889</x:v>
      </x:c>
      <x:c r="I138" s="24" t="n">
        <x:f>ROUND((H138-B138)*1440,0)</x:f>
        <x:v>232</x:v>
      </x:c>
      <x:c r="J138" s="24" t="n">
        <x:f>IF(I138&gt;240,1,0)</x:f>
        <x:v>0</x:v>
      </x:c>
      <x:c r="K138" s="24" t="n">
        <x:f>IF(AND(D138&lt;&gt;"",E138&lt;&gt;"",F138&lt;&gt;""),1,0)</x:f>
        <x:v>1</x:v>
      </x:c>
      <x:c r="L138" s="27" t="str">
        <x:v>Cadastro mínimo presente.</x:v>
      </x:c>
    </x:row>
    <x:row r="139">
      <x:c r="A139" s="18" t="str">
        <x:v>CT138</x:v>
      </x:c>
      <x:c r="B139" s="21" t="n">
        <x:v>46168.65347222222</x:v>
      </x:c>
      <x:c r="C139" s="18" t="str">
        <x:v>Mensageria</x:v>
      </x:c>
      <x:c r="D139" s="18" t="str">
        <x:v>CL052</x:v>
      </x:c>
      <x:c r="E139" s="18" t="str">
        <x:v>Climatização</x:v>
      </x:c>
      <x:c r="F139" s="18" t="str">
        <x:v>Leste</x:v>
      </x:c>
      <x:c r="G139" s="18" t="str">
        <x:v>Média</x:v>
      </x:c>
      <x:c r="H139" s="21" t="n">
        <x:v>46169.01458333333</x:v>
      </x:c>
      <x:c r="I139" s="24" t="n">
        <x:f>ROUND((H139-B139)*1440,0)</x:f>
        <x:v>520</x:v>
      </x:c>
      <x:c r="J139" s="24" t="n">
        <x:f>IF(I139&gt;240,1,0)</x:f>
        <x:v>1</x:v>
      </x:c>
      <x:c r="K139" s="24" t="n">
        <x:f>IF(AND(D139&lt;&gt;"",E139&lt;&gt;"",F139&lt;&gt;""),1,0)</x:f>
        <x:v>1</x:v>
      </x:c>
      <x:c r="L139" s="27" t="str">
        <x:v>Cadastro mínimo presente.</x:v>
      </x:c>
    </x:row>
    <x:row r="140">
      <x:c r="A140" s="18" t="str">
        <x:v>CT139</x:v>
      </x:c>
      <x:c r="B140" s="21" t="n">
        <x:v>46169.70416666667</x:v>
      </x:c>
      <x:c r="C140" s="18" t="str">
        <x:v>Telefone</x:v>
      </x:c>
      <x:c r="D140" s="18" t="str">
        <x:v>CL053</x:v>
      </x:c>
      <x:c r="E140" s="18" t="str">
        <x:v>Refrigeração</x:v>
      </x:c>
      <x:c r="F140" s="18" t="str">
        <x:v>Oeste</x:v>
      </x:c>
      <x:c r="G140" s="18" t="str">
        <x:v>Alta</x:v>
      </x:c>
      <x:c r="H140" s="21" t="n">
        <x:v>46169.896527777775</x:v>
      </x:c>
      <x:c r="I140" s="24" t="n">
        <x:f>ROUND((H140-B140)*1440,0)</x:f>
        <x:v>277</x:v>
      </x:c>
      <x:c r="J140" s="24" t="n">
        <x:f>IF(I140&gt;240,1,0)</x:f>
        <x:v>1</x:v>
      </x:c>
      <x:c r="K140" s="24" t="n">
        <x:f>IF(AND(D140&lt;&gt;"",E140&lt;&gt;"",F140&lt;&gt;""),1,0)</x:f>
        <x:v>1</x:v>
      </x:c>
      <x:c r="L140" s="27" t="str">
        <x:v>Cadastro mínimo presente.</x:v>
      </x:c>
    </x:row>
    <x:row r="141">
      <x:c r="A141" s="18" t="str">
        <x:v>CT140</x:v>
      </x:c>
      <x:c r="B141" s="21" t="n">
        <x:v>46170.71319444444</x:v>
      </x:c>
      <x:c r="C141" s="18" t="str">
        <x:v>Indicação</x:v>
      </x:c>
      <x:c r="D141" s="18" t="str">
        <x:v>CL054</x:v>
      </x:c>
      <x:c r="E141" s="18" t="str">
        <x:v>Hidráulica leve</x:v>
      </x:c>
      <x:c r="F141" s="18" t="str">
        <x:v>Centro</x:v>
      </x:c>
      <x:c r="G141" s="18" t="str">
        <x:v>Não informada</x:v>
      </x:c>
      <x:c r="H141" s="21" t="n">
        <x:v>46170.77777777778</x:v>
      </x:c>
      <x:c r="I141" s="24" t="n">
        <x:f>ROUND((H141-B141)*1440,0)</x:f>
        <x:v>93</x:v>
      </x:c>
      <x:c r="J141" s="24" t="n">
        <x:f>IF(I141&gt;240,1,0)</x:f>
        <x:v>0</x:v>
      </x:c>
      <x:c r="K141" s="24" t="n">
        <x:f>IF(AND(D141&lt;&gt;"",E141&lt;&gt;"",F141&lt;&gt;""),1,0)</x:f>
        <x:v>1</x:v>
      </x:c>
      <x:c r="L141" s="27" t="str">
        <x:v>Cadastro mínimo presente.</x:v>
      </x:c>
    </x:row>
    <x:row r="142">
      <x:c r="A142" s="18" t="str">
        <x:v>CT141</x:v>
      </x:c>
      <x:c r="B142" s="21" t="n">
        <x:v>46143.34722222222</x:v>
      </x:c>
      <x:c r="C142" s="18" t="str">
        <x:v>Formulário</x:v>
      </x:c>
      <x:c r="D142" s="18" t="str">
        <x:v>CL055</x:v>
      </x:c>
      <x:c r="E142" s="18" t="str">
        <x:v>Elétrica leve</x:v>
      </x:c>
      <x:c r="F142" s="18" t="str">
        <x:v>Norte</x:v>
      </x:c>
      <x:c r="G142" s="18" t="str">
        <x:v>Baixa</x:v>
      </x:c>
      <x:c r="H142" s="21" t="n">
        <x:v>46143.47777777778</x:v>
      </x:c>
      <x:c r="I142" s="24" t="n">
        <x:f>ROUND((H142-B142)*1440,0)</x:f>
        <x:v>188</x:v>
      </x:c>
      <x:c r="J142" s="24" t="n">
        <x:f>IF(I142&gt;240,1,0)</x:f>
        <x:v>0</x:v>
      </x:c>
      <x:c r="K142" s="24" t="n">
        <x:f>IF(AND(D142&lt;&gt;"",E142&lt;&gt;"",F142&lt;&gt;""),1,0)</x:f>
        <x:v>1</x:v>
      </x:c>
      <x:c r="L142" s="27" t="str">
        <x:v>Cadastro mínimo presente.</x:v>
      </x:c>
    </x:row>
    <x:row r="143">
      <x:c r="A143" s="18" t="str">
        <x:v>CT142</x:v>
      </x:c>
      <x:c r="B143" s="21" t="n">
        <x:v>46144.39791666667</x:v>
      </x:c>
      <x:c r="C143" s="18" t="str">
        <x:v>Mensageria</x:v>
      </x:c>
      <x:c r="D143" s="18" t="str">
        <x:v>CL056</x:v>
      </x:c>
      <x:c r="E143" s="18" t="str">
        <x:v>Climatização</x:v>
      </x:c>
      <x:c r="F143" s="18" t="str">
        <x:v>Sul</x:v>
      </x:c>
      <x:c r="G143" s="18" t="str">
        <x:v>Média</x:v>
      </x:c>
      <x:c r="H143" s="21" t="n">
        <x:v>46144.4875</x:v>
      </x:c>
      <x:c r="I143" s="24" t="n">
        <x:f>ROUND((H143-B143)*1440,0)</x:f>
        <x:v>129</x:v>
      </x:c>
      <x:c r="J143" s="24" t="n">
        <x:f>IF(I143&gt;240,1,0)</x:f>
        <x:v>0</x:v>
      </x:c>
      <x:c r="K143" s="24" t="n">
        <x:f>IF(AND(D143&lt;&gt;"",E143&lt;&gt;"",F143&lt;&gt;""),1,0)</x:f>
        <x:v>1</x:v>
      </x:c>
      <x:c r="L143" s="27" t="str">
        <x:v>Cadastro mínimo presente.</x:v>
      </x:c>
    </x:row>
    <x:row r="144">
      <x:c r="A144" s="18" t="str">
        <x:v>CT143</x:v>
      </x:c>
      <x:c r="B144" s="21" t="n">
        <x:v>46145.44861111111</x:v>
      </x:c>
      <x:c r="C144" s="18" t="str">
        <x:v>Telefone</x:v>
      </x:c>
      <x:c r="D144" s="18" t="str">
        <x:v>CL057</x:v>
      </x:c>
      <x:c r="E144" s="18" t="str">
        <x:v>Refrigeração</x:v>
      </x:c>
      <x:c r="F144" s="18" t="str">
        <x:v>Leste</x:v>
      </x:c>
      <x:c r="G144" s="18" t="str">
        <x:v>Alta</x:v>
      </x:c>
      <x:c r="H144" s="21" t="n">
        <x:v>46145.606944444444</x:v>
      </x:c>
      <x:c r="I144" s="24" t="n">
        <x:f>ROUND((H144-B144)*1440,0)</x:f>
        <x:v>228</x:v>
      </x:c>
      <x:c r="J144" s="24" t="n">
        <x:f>IF(I144&gt;240,1,0)</x:f>
        <x:v>0</x:v>
      </x:c>
      <x:c r="K144" s="24" t="n">
        <x:f>IF(AND(D144&lt;&gt;"",E144&lt;&gt;"",F144&lt;&gt;""),1,0)</x:f>
        <x:v>1</x:v>
      </x:c>
      <x:c r="L144" s="27" t="str">
        <x:v>Cadastro mínimo presente.</x:v>
      </x:c>
    </x:row>
    <x:row r="145">
      <x:c r="A145" s="18" t="str">
        <x:v>CT144</x:v>
      </x:c>
      <x:c r="B145" s="21" t="n">
        <x:v>46146.49930555555</x:v>
      </x:c>
      <x:c r="C145" s="18" t="str">
        <x:v>Indicação</x:v>
      </x:c>
      <x:c r="D145" s="18" t="str">
        <x:v>CL058</x:v>
      </x:c>
      <x:c r="E145" s="18" t="str">
        <x:v>Hidráulica leve</x:v>
      </x:c>
      <x:c r="F145" s="18" t="str">
        <x:v>Oeste</x:v>
      </x:c>
      <x:c r="G145" s="18" t="str">
        <x:v>Não informada</x:v>
      </x:c>
      <x:c r="H145" s="21" t="n">
        <x:v>46146.57777777778</x:v>
      </x:c>
      <x:c r="I145" s="24" t="n">
        <x:f>ROUND((H145-B145)*1440,0)</x:f>
        <x:v>113</x:v>
      </x:c>
      <x:c r="J145" s="24" t="n">
        <x:f>IF(I145&gt;240,1,0)</x:f>
        <x:v>0</x:v>
      </x:c>
      <x:c r="K145" s="24" t="n">
        <x:f>IF(AND(D145&lt;&gt;"",E145&lt;&gt;"",F145&lt;&gt;""),1,0)</x:f>
        <x:v>1</x:v>
      </x:c>
      <x:c r="L145" s="27" t="str">
        <x:v>Cadastro mínimo presente.</x:v>
      </x:c>
    </x:row>
    <x:row r="146">
      <x:c r="A146" s="18" t="str">
        <x:v>CT145</x:v>
      </x:c>
      <x:c r="B146" s="21" t="n">
        <x:v>46147.50833333333</x:v>
      </x:c>
      <x:c r="C146" s="18" t="str">
        <x:v>Formulário</x:v>
      </x:c>
      <x:c r="D146" s="18" t="str">
        <x:v>CL059</x:v>
      </x:c>
      <x:c r="E146" s="18" t="str">
        <x:v>Elétrica leve</x:v>
      </x:c>
      <x:c r="F146" s="18" t="str">
        <x:v>Centro</x:v>
      </x:c>
      <x:c r="G146" s="18" t="str">
        <x:v>Baixa</x:v>
      </x:c>
      <x:c r="H146" s="21" t="n">
        <x:v>46147.561111111114</x:v>
      </x:c>
      <x:c r="I146" s="24" t="n">
        <x:f>ROUND((H146-B146)*1440,0)</x:f>
        <x:v>76</x:v>
      </x:c>
      <x:c r="J146" s="24" t="n">
        <x:f>IF(I146&gt;240,1,0)</x:f>
        <x:v>0</x:v>
      </x:c>
      <x:c r="K146" s="24" t="n">
        <x:f>IF(AND(D146&lt;&gt;"",E146&lt;&gt;"",F146&lt;&gt;""),1,0)</x:f>
        <x:v>1</x:v>
      </x:c>
      <x:c r="L146" s="27" t="str">
        <x:v>Cadastro mínimo presente.</x:v>
      </x:c>
    </x:row>
    <x:row r="147">
      <x:c r="A147" s="18" t="str">
        <x:v>CT146</x:v>
      </x:c>
      <x:c r="B147" s="21" t="n">
        <x:v>46148.55902777778</x:v>
      </x:c>
      <x:c r="C147" s="18" t="str">
        <x:v>Mensageria</x:v>
      </x:c>
      <x:c r="D147" s="18" t="str">
        <x:v>CL060</x:v>
      </x:c>
      <x:c r="E147" s="18" t="str">
        <x:v>Climatização</x:v>
      </x:c>
      <x:c r="F147" s="18" t="str">
        <x:v>Norte</x:v>
      </x:c>
      <x:c r="G147" s="18" t="str">
        <x:v>Média</x:v>
      </x:c>
      <x:c r="H147" s="21" t="n">
        <x:v>46148.71875</x:v>
      </x:c>
      <x:c r="I147" s="24" t="n">
        <x:f>ROUND((H147-B147)*1440,0)</x:f>
        <x:v>230</x:v>
      </x:c>
      <x:c r="J147" s="24" t="n">
        <x:f>IF(I147&gt;240,1,0)</x:f>
        <x:v>0</x:v>
      </x:c>
      <x:c r="K147" s="24" t="n">
        <x:f>IF(AND(D147&lt;&gt;"",E147&lt;&gt;"",F147&lt;&gt;""),1,0)</x:f>
        <x:v>1</x:v>
      </x:c>
      <x:c r="L147" s="27" t="str">
        <x:v>Cadastro mínimo presente.</x:v>
      </x:c>
    </x:row>
    <x:row r="148">
      <x:c r="A148" s="18" t="str">
        <x:v>CT147</x:v>
      </x:c>
      <x:c r="B148" s="21" t="n">
        <x:v>46149.60972222222</x:v>
      </x:c>
      <x:c r="C148" s="18" t="str">
        <x:v>Telefone</x:v>
      </x:c>
      <x:c r="D148" s="18" t="str">
        <x:v>CL061</x:v>
      </x:c>
      <x:c r="E148" s="18" t="str">
        <x:v>Refrigeração</x:v>
      </x:c>
      <x:c r="F148" s="18" t="str">
        <x:v>Sul</x:v>
      </x:c>
      <x:c r="G148" s="18" t="str">
        <x:v>Alta</x:v>
      </x:c>
      <x:c r="H148" s="21" t="n">
        <x:v>46150.104166666664</x:v>
      </x:c>
      <x:c r="I148" s="24" t="n">
        <x:f>ROUND((H148-B148)*1440,0)</x:f>
        <x:v>712</x:v>
      </x:c>
      <x:c r="J148" s="24" t="n">
        <x:f>IF(I148&gt;240,1,0)</x:f>
        <x:v>1</x:v>
      </x:c>
      <x:c r="K148" s="24" t="n">
        <x:f>IF(AND(D148&lt;&gt;"",E148&lt;&gt;"",F148&lt;&gt;""),1,0)</x:f>
        <x:v>1</x:v>
      </x:c>
      <x:c r="L148" s="27" t="str">
        <x:v>Cadastro mínimo presente.</x:v>
      </x:c>
    </x:row>
    <x:row r="149">
      <x:c r="A149" s="18" t="str">
        <x:v>CT148</x:v>
      </x:c>
      <x:c r="B149" s="21" t="n">
        <x:v>46150.660416666666</x:v>
      </x:c>
      <x:c r="C149" s="18" t="str">
        <x:v>Indicação</x:v>
      </x:c>
      <x:c r="D149" s="18" t="str">
        <x:v>CL062</x:v>
      </x:c>
      <x:c r="E149" s="18" t="str">
        <x:v>Hidráulica leve</x:v>
      </x:c>
      <x:c r="F149" s="18" t="str">
        <x:v>Leste</x:v>
      </x:c>
      <x:c r="G149" s="18" t="str">
        <x:v>Não informada</x:v>
      </x:c>
      <x:c r="H149" s="21" t="n">
        <x:v>46150.78472222222</x:v>
      </x:c>
      <x:c r="I149" s="24" t="n">
        <x:f>ROUND((H149-B149)*1440,0)</x:f>
        <x:v>179</x:v>
      </x:c>
      <x:c r="J149" s="24" t="n">
        <x:f>IF(I149&gt;240,1,0)</x:f>
        <x:v>0</x:v>
      </x:c>
      <x:c r="K149" s="24" t="n">
        <x:f>IF(AND(D149&lt;&gt;"",E149&lt;&gt;"",F149&lt;&gt;""),1,0)</x:f>
        <x:v>1</x:v>
      </x:c>
      <x:c r="L149" s="27" t="str">
        <x:v>Cadastro mínimo presente.</x:v>
      </x:c>
    </x:row>
    <x:row r="150">
      <x:c r="A150" s="18" t="str">
        <x:v>CT149</x:v>
      </x:c>
      <x:c r="B150" s="21" t="n">
        <x:v>46151.669444444444</x:v>
      </x:c>
      <x:c r="C150" s="18" t="str">
        <x:v>Formulário</x:v>
      </x:c>
      <x:c r="D150" s="18" t="str">
        <x:v>CL063</x:v>
      </x:c>
      <x:c r="E150" s="18" t="str">
        <x:v>Elétrica leve</x:v>
      </x:c>
      <x:c r="F150" s="18" t="str">
        <x:v>Oeste</x:v>
      </x:c>
      <x:c r="G150" s="18" t="str">
        <x:v>Baixa</x:v>
      </x:c>
      <x:c r="H150" s="21" t="n">
        <x:v>46151.83472222222</x:v>
      </x:c>
      <x:c r="I150" s="24" t="n">
        <x:f>ROUND((H150-B150)*1440,0)</x:f>
        <x:v>238</x:v>
      </x:c>
      <x:c r="J150" s="24" t="n">
        <x:f>IF(I150&gt;240,1,0)</x:f>
        <x:v>0</x:v>
      </x:c>
      <x:c r="K150" s="24" t="n">
        <x:f>IF(AND(D150&lt;&gt;"",E150&lt;&gt;"",F150&lt;&gt;""),1,0)</x:f>
        <x:v>1</x:v>
      </x:c>
      <x:c r="L150" s="27" t="str">
        <x:v>Cadastro mínimo presente.</x:v>
      </x:c>
    </x:row>
    <x:row r="151">
      <x:c r="A151" s="18" t="str">
        <x:v>CT150</x:v>
      </x:c>
      <x:c r="B151" s="21" t="n">
        <x:v>46152.720138888886</x:v>
      </x:c>
      <x:c r="C151" s="18" t="str">
        <x:v>Mensageria</x:v>
      </x:c>
      <x:c r="D151" s="18" t="str">
        <x:v>CL064</x:v>
      </x:c>
      <x:c r="E151" s="18" t="str">
        <x:v>Climatização</x:v>
      </x:c>
      <x:c r="F151" s="18" t="str">
        <x:v>Centro</x:v>
      </x:c>
      <x:c r="G151" s="18" t="str">
        <x:v>Média</x:v>
      </x:c>
      <x:c r="H151" s="21" t="n">
        <x:v>46152.754166666666</x:v>
      </x:c>
      <x:c r="I151" s="24" t="n">
        <x:f>ROUND((H151-B151)*1440,0)</x:f>
        <x:v>49</x:v>
      </x:c>
      <x:c r="J151" s="24" t="n">
        <x:f>IF(I151&gt;240,1,0)</x:f>
        <x:v>0</x:v>
      </x:c>
      <x:c r="K151" s="24" t="n">
        <x:f>IF(AND(D151&lt;&gt;"",E151&lt;&gt;"",F151&lt;&gt;""),1,0)</x:f>
        <x:v>1</x:v>
      </x:c>
      <x:c r="L151" s="27" t="str">
        <x:v>Cadastro mínimo presente.</x:v>
      </x:c>
    </x:row>
    <x:row r="152">
      <x:c r="A152" s="18" t="str">
        <x:v>CT151</x:v>
      </x:c>
      <x:c r="B152" s="21" t="n">
        <x:v>46153.354166666664</x:v>
      </x:c>
      <x:c r="C152" s="18" t="str">
        <x:v>Telefone</x:v>
      </x:c>
      <x:c r="D152" s="18" t="str">
        <x:v>CL065</x:v>
      </x:c>
      <x:c r="E152" s="18" t="str">
        <x:v>Refrigeração</x:v>
      </x:c>
      <x:c r="F152" s="18" t="str">
        <x:v>Norte</x:v>
      </x:c>
      <x:c r="G152" s="18" t="str">
        <x:v>Alta</x:v>
      </x:c>
      <x:c r="H152" s="21" t="n">
        <x:v>46153.54027777778</x:v>
      </x:c>
      <x:c r="I152" s="24" t="n">
        <x:f>ROUND((H152-B152)*1440,0)</x:f>
        <x:v>268</x:v>
      </x:c>
      <x:c r="J152" s="24" t="n">
        <x:f>IF(I152&gt;240,1,0)</x:f>
        <x:v>1</x:v>
      </x:c>
      <x:c r="K152" s="24" t="n">
        <x:f>IF(AND(D152&lt;&gt;"",E152&lt;&gt;"",F152&lt;&gt;""),1,0)</x:f>
        <x:v>1</x:v>
      </x:c>
      <x:c r="L152" s="27" t="str">
        <x:v>Cadastro mínimo presente.</x:v>
      </x:c>
    </x:row>
    <x:row r="153">
      <x:c r="A153" s="18" t="str">
        <x:v>CT152</x:v>
      </x:c>
      <x:c r="B153" s="21" t="n">
        <x:v>46154.404861111114</x:v>
      </x:c>
      <x:c r="C153" s="18" t="str">
        <x:v>Indicação</x:v>
      </x:c>
      <x:c r="D153" s="18" t="str">
        <x:v>CL066</x:v>
      </x:c>
      <x:c r="E153" s="18" t="str">
        <x:v>Hidráulica leve</x:v>
      </x:c>
      <x:c r="F153" s="18" t="str">
        <x:v>Sul</x:v>
      </x:c>
      <x:c r="G153" s="18" t="str">
        <x:v>Não informada</x:v>
      </x:c>
      <x:c r="H153" s="21" t="n">
        <x:v>46154.538194444445</x:v>
      </x:c>
      <x:c r="I153" s="24" t="n">
        <x:f>ROUND((H153-B153)*1440,0)</x:f>
        <x:v>192</x:v>
      </x:c>
      <x:c r="J153" s="24" t="n">
        <x:f>IF(I153&gt;240,1,0)</x:f>
        <x:v>0</x:v>
      </x:c>
      <x:c r="K153" s="24" t="n">
        <x:f>IF(AND(D153&lt;&gt;"",E153&lt;&gt;"",F153&lt;&gt;""),1,0)</x:f>
        <x:v>1</x:v>
      </x:c>
      <x:c r="L153" s="27" t="str">
        <x:v>Cadastro mínimo presente.</x:v>
      </x:c>
    </x:row>
    <x:row r="154">
      <x:c r="A154" s="18" t="str">
        <x:v>CT153</x:v>
      </x:c>
      <x:c r="B154" s="21" t="n">
        <x:v>46155.455555555556</x:v>
      </x:c>
      <x:c r="C154" s="18" t="str">
        <x:v>Formulário</x:v>
      </x:c>
      <x:c r="D154" s="18" t="str">
        <x:v>CL067</x:v>
      </x:c>
      <x:c r="E154" s="18" t="str">
        <x:v>Elétrica leve</x:v>
      </x:c>
      <x:c r="F154" s="18" t="str">
        <x:v>Leste</x:v>
      </x:c>
      <x:c r="G154" s="18" t="str">
        <x:v>Baixa</x:v>
      </x:c>
      <x:c r="H154" s="21" t="n">
        <x:v>46155.62152777778</x:v>
      </x:c>
      <x:c r="I154" s="24" t="n">
        <x:f>ROUND((H154-B154)*1440,0)</x:f>
        <x:v>239</x:v>
      </x:c>
      <x:c r="J154" s="24" t="n">
        <x:f>IF(I154&gt;240,1,0)</x:f>
        <x:v>0</x:v>
      </x:c>
      <x:c r="K154" s="24" t="n">
        <x:f>IF(AND(D154&lt;&gt;"",E154&lt;&gt;"",F154&lt;&gt;""),1,0)</x:f>
        <x:v>1</x:v>
      </x:c>
      <x:c r="L154" s="27" t="str">
        <x:v>Cadastro mínimo presente.</x:v>
      </x:c>
    </x:row>
    <x:row r="155">
      <x:c r="A155" s="18" t="str">
        <x:v>CT154</x:v>
      </x:c>
      <x:c r="B155" s="21" t="n">
        <x:v>46156.464583333334</x:v>
      </x:c>
      <x:c r="C155" s="18" t="str">
        <x:v>Mensageria</x:v>
      </x:c>
      <x:c r="D155" s="18" t="str">
        <x:v>CL068</x:v>
      </x:c>
      <x:c r="E155" s="18" t="str">
        <x:v>Climatização</x:v>
      </x:c>
      <x:c r="F155" s="18" t="str">
        <x:v>Oeste</x:v>
      </x:c>
      <x:c r="G155" s="18" t="str">
        <x:v>Média</x:v>
      </x:c>
      <x:c r="H155" s="21" t="n">
        <x:v>46156.56597222222</x:v>
      </x:c>
      <x:c r="I155" s="24" t="n">
        <x:f>ROUND((H155-B155)*1440,0)</x:f>
        <x:v>146</x:v>
      </x:c>
      <x:c r="J155" s="24" t="n">
        <x:f>IF(I155&gt;240,1,0)</x:f>
        <x:v>0</x:v>
      </x:c>
      <x:c r="K155" s="24" t="n">
        <x:f>IF(AND(D155&lt;&gt;"",E155&lt;&gt;"",F155&lt;&gt;""),1,0)</x:f>
        <x:v>1</x:v>
      </x:c>
      <x:c r="L155" s="27" t="str">
        <x:v>Cadastro mínimo presente.</x:v>
      </x:c>
    </x:row>
    <x:row r="156">
      <x:c r="A156" s="18" t="str">
        <x:v>CT155</x:v>
      </x:c>
      <x:c r="B156" s="21" t="n">
        <x:v>46157.51527777778</x:v>
      </x:c>
      <x:c r="C156" s="18" t="str">
        <x:v>Telefone</x:v>
      </x:c>
      <x:c r="D156" s="18" t="str">
        <x:v>CL069</x:v>
      </x:c>
      <x:c r="E156" s="18" t="str">
        <x:v>Refrigeração</x:v>
      </x:c>
      <x:c r="F156" s="18" t="str">
        <x:v>Centro</x:v>
      </x:c>
      <x:c r="G156" s="18" t="str">
        <x:v>Alta</x:v>
      </x:c>
      <x:c r="H156" s="21" t="n">
        <x:v>46157.995833333334</x:v>
      </x:c>
      <x:c r="I156" s="24" t="n">
        <x:f>ROUND((H156-B156)*1440,0)</x:f>
        <x:v>692</x:v>
      </x:c>
      <x:c r="J156" s="24" t="n">
        <x:f>IF(I156&gt;240,1,0)</x:f>
        <x:v>1</x:v>
      </x:c>
      <x:c r="K156" s="24" t="n">
        <x:f>IF(AND(D156&lt;&gt;"",E156&lt;&gt;"",F156&lt;&gt;""),1,0)</x:f>
        <x:v>1</x:v>
      </x:c>
      <x:c r="L156" s="27" t="str">
        <x:v>Cadastro mínimo presente.</x:v>
      </x:c>
    </x:row>
    <x:row r="157">
      <x:c r="A157" s="18" t="str">
        <x:v>CT156</x:v>
      </x:c>
      <x:c r="B157" s="21" t="n">
        <x:v>46158.56597222222</x:v>
      </x:c>
      <x:c r="C157" s="18" t="str">
        <x:v>Indicação</x:v>
      </x:c>
      <x:c r="D157" s="18" t="str">
        <x:v>CL070</x:v>
      </x:c>
      <x:c r="E157" s="18" t="str">
        <x:v>Hidráulica leve</x:v>
      </x:c>
      <x:c r="F157" s="18" t="str">
        <x:v>Norte</x:v>
      </x:c>
      <x:c r="G157" s="18" t="str">
        <x:v>Não informada</x:v>
      </x:c>
      <x:c r="H157" s="21" t="n">
        <x:v>46158.72986111111</x:v>
      </x:c>
      <x:c r="I157" s="24" t="n">
        <x:f>ROUND((H157-B157)*1440,0)</x:f>
        <x:v>236</x:v>
      </x:c>
      <x:c r="J157" s="24" t="n">
        <x:f>IF(I157&gt;240,1,0)</x:f>
        <x:v>0</x:v>
      </x:c>
      <x:c r="K157" s="24" t="n">
        <x:f>IF(AND(D157&lt;&gt;"",E157&lt;&gt;"",F157&lt;&gt;""),1,0)</x:f>
        <x:v>1</x:v>
      </x:c>
      <x:c r="L157" s="27" t="str">
        <x:v>Cadastro mínimo presente.</x:v>
      </x:c>
    </x:row>
    <x:row r="158">
      <x:c r="A158" s="18" t="str">
        <x:v>CT157</x:v>
      </x:c>
      <x:c r="B158" s="21" t="n">
        <x:v>46159.61666666667</x:v>
      </x:c>
      <x:c r="C158" s="18" t="str">
        <x:v>Formulário</x:v>
      </x:c>
      <x:c r="D158" s="18" t="str">
        <x:v>CL071</x:v>
      </x:c>
      <x:c r="E158" s="18" t="str">
        <x:v>Elétrica leve</x:v>
      </x:c>
      <x:c r="F158" s="18" t="str">
        <x:v>Sul</x:v>
      </x:c>
      <x:c r="G158" s="18" t="str">
        <x:v>Baixa</x:v>
      </x:c>
      <x:c r="H158" s="21" t="n">
        <x:v>46159.875</x:v>
      </x:c>
      <x:c r="I158" s="24" t="n">
        <x:f>ROUND((H158-B158)*1440,0)</x:f>
        <x:v>372</x:v>
      </x:c>
      <x:c r="J158" s="24" t="n">
        <x:f>IF(I158&gt;240,1,0)</x:f>
        <x:v>1</x:v>
      </x:c>
      <x:c r="K158" s="24" t="n">
        <x:f>IF(AND(D158&lt;&gt;"",E158&lt;&gt;"",F158&lt;&gt;""),1,0)</x:f>
        <x:v>1</x:v>
      </x:c>
      <x:c r="L158" s="27" t="str">
        <x:v>Cadastro mínimo presente.</x:v>
      </x:c>
    </x:row>
    <x:row r="159">
      <x:c r="A159" s="18" t="str">
        <x:v>CT158</x:v>
      </x:c>
      <x:c r="B159" s="21" t="n">
        <x:v>46160.62569444445</x:v>
      </x:c>
      <x:c r="C159" s="18" t="str">
        <x:v>Mensageria</x:v>
      </x:c>
      <x:c r="D159" s="18" t="str">
        <x:v>CL072</x:v>
      </x:c>
      <x:c r="E159" s="18" t="str">
        <x:v>Climatização</x:v>
      </x:c>
      <x:c r="F159" s="18" t="str">
        <x:v>Leste</x:v>
      </x:c>
      <x:c r="G159" s="18" t="str">
        <x:v>Média</x:v>
      </x:c>
      <x:c r="H159" s="21" t="n">
        <x:v>46161.09861111111</x:v>
      </x:c>
      <x:c r="I159" s="24" t="n">
        <x:f>ROUND((H159-B159)*1440,0)</x:f>
        <x:v>681</x:v>
      </x:c>
      <x:c r="J159" s="24" t="n">
        <x:f>IF(I159&gt;240,1,0)</x:f>
        <x:v>1</x:v>
      </x:c>
      <x:c r="K159" s="24" t="n">
        <x:f>IF(AND(D159&lt;&gt;"",E159&lt;&gt;"",F159&lt;&gt;""),1,0)</x:f>
        <x:v>1</x:v>
      </x:c>
      <x:c r="L159" s="27" t="str">
        <x:v>Cadastro mínimo presente.</x:v>
      </x:c>
    </x:row>
    <x:row r="160">
      <x:c r="A160" s="18" t="str">
        <x:v>CT159</x:v>
      </x:c>
      <x:c r="B160" s="21" t="n">
        <x:v>46161.67638888889</x:v>
      </x:c>
      <x:c r="C160" s="18" t="str">
        <x:v>Telefone</x:v>
      </x:c>
      <x:c r="D160" s="18" t="str">
        <x:v>CL073</x:v>
      </x:c>
      <x:c r="E160" s="18" t="str">
        <x:v>Refrigeração</x:v>
      </x:c>
      <x:c r="F160" s="18" t="str">
        <x:v>Oeste</x:v>
      </x:c>
      <x:c r="G160" s="18" t="str">
        <x:v>Alta</x:v>
      </x:c>
      <x:c r="H160" s="21" t="n">
        <x:v>46161.76388888889</x:v>
      </x:c>
      <x:c r="I160" s="24" t="n">
        <x:f>ROUND((H160-B160)*1440,0)</x:f>
        <x:v>126</x:v>
      </x:c>
      <x:c r="J160" s="24" t="n">
        <x:f>IF(I160&gt;240,1,0)</x:f>
        <x:v>0</x:v>
      </x:c>
      <x:c r="K160" s="24" t="n">
        <x:f>IF(AND(D160&lt;&gt;"",E160&lt;&gt;"",F160&lt;&gt;""),1,0)</x:f>
        <x:v>1</x:v>
      </x:c>
      <x:c r="L160" s="27" t="str">
        <x:v>Cadastro mínimo presente.</x:v>
      </x:c>
    </x:row>
    <x:row r="161">
      <x:c r="A161" s="18" t="str">
        <x:v>CT160</x:v>
      </x:c>
      <x:c r="B161" s="21" t="n">
        <x:v>46162.72708333333</x:v>
      </x:c>
      <x:c r="C161" s="18" t="str">
        <x:v>Indicação</x:v>
      </x:c>
      <x:c r="D161" s="18" t="str">
        <x:v>CL074</x:v>
      </x:c>
      <x:c r="E161" s="18" t="str">
        <x:v>Hidráulica leve</x:v>
      </x:c>
      <x:c r="F161" s="18" t="str">
        <x:v>Centro</x:v>
      </x:c>
      <x:c r="G161" s="18" t="str">
        <x:v>Não informada</x:v>
      </x:c>
      <x:c r="H161" s="21" t="n">
        <x:v>46162.86666666667</x:v>
      </x:c>
      <x:c r="I161" s="24" t="n">
        <x:f>ROUND((H161-B161)*1440,0)</x:f>
        <x:v>201</x:v>
      </x:c>
      <x:c r="J161" s="24" t="n">
        <x:f>IF(I161&gt;240,1,0)</x:f>
        <x:v>0</x:v>
      </x:c>
      <x:c r="K161" s="24" t="n">
        <x:f>IF(AND(D161&lt;&gt;"",E161&lt;&gt;"",F161&lt;&gt;""),1,0)</x:f>
        <x:v>1</x:v>
      </x:c>
      <x:c r="L161" s="27" t="str">
        <x:v>Cadastro mínimo presente.</x:v>
      </x:c>
    </x:row>
    <x:row r="162">
      <x:c r="A162" s="18" t="str">
        <x:v>CT161</x:v>
      </x:c>
      <x:c r="B162" s="21" t="n">
        <x:v>46163.36111111111</x:v>
      </x:c>
      <x:c r="C162" s="18" t="str">
        <x:v>Formulário</x:v>
      </x:c>
      <x:c r="D162" s="18" t="str">
        <x:v>CL075</x:v>
      </x:c>
      <x:c r="E162" s="18" t="str">
        <x:v>Elétrica leve</x:v>
      </x:c>
      <x:c r="F162" s="18" t="str">
        <x:v>Norte</x:v>
      </x:c>
      <x:c r="G162" s="18" t="str">
        <x:v>Baixa</x:v>
      </x:c>
      <x:c r="H162" s="21" t="n">
        <x:v>46163.4</x:v>
      </x:c>
      <x:c r="I162" s="24" t="n">
        <x:f>ROUND((H162-B162)*1440,0)</x:f>
        <x:v>56</x:v>
      </x:c>
      <x:c r="J162" s="24" t="n">
        <x:f>IF(I162&gt;240,1,0)</x:f>
        <x:v>0</x:v>
      </x:c>
      <x:c r="K162" s="24" t="n">
        <x:f>IF(AND(D162&lt;&gt;"",E162&lt;&gt;"",F162&lt;&gt;""),1,0)</x:f>
        <x:v>1</x:v>
      </x:c>
      <x:c r="L162" s="27" t="str">
        <x:v>Cadastro mínimo presente.</x:v>
      </x:c>
    </x:row>
    <x:row r="163">
      <x:c r="A163" s="18" t="str">
        <x:v>CT162</x:v>
      </x:c>
      <x:c r="B163" s="21" t="n">
        <x:v>46164.41180555556</x:v>
      </x:c>
      <x:c r="C163" s="18" t="str">
        <x:v>Mensageria</x:v>
      </x:c>
      <x:c r="D163" s="18" t="str">
        <x:v>CL076</x:v>
      </x:c>
      <x:c r="E163" s="18" t="str">
        <x:v>Climatização</x:v>
      </x:c>
      <x:c r="F163" s="18" t="str">
        <x:v>Sul</x:v>
      </x:c>
      <x:c r="G163" s="18" t="str">
        <x:v>Média</x:v>
      </x:c>
      <x:c r="H163" s="21" t="n">
        <x:v>46164.64097222222</x:v>
      </x:c>
      <x:c r="I163" s="24" t="n">
        <x:f>ROUND((H163-B163)*1440,0)</x:f>
        <x:v>330</x:v>
      </x:c>
      <x:c r="J163" s="24" t="n">
        <x:f>IF(I163&gt;240,1,0)</x:f>
        <x:v>1</x:v>
      </x:c>
      <x:c r="K163" s="24" t="n">
        <x:f>IF(AND(D163&lt;&gt;"",E163&lt;&gt;"",F163&lt;&gt;""),1,0)</x:f>
        <x:v>1</x:v>
      </x:c>
      <x:c r="L163" s="27" t="str">
        <x:v>Cadastro mínimo presente.</x:v>
      </x:c>
    </x:row>
    <x:row r="164">
      <x:c r="A164" s="18" t="str">
        <x:v>CT163</x:v>
      </x:c>
      <x:c r="B164" s="21" t="n">
        <x:v>46165.42083333333</x:v>
      </x:c>
      <x:c r="C164" s="18" t="str">
        <x:v>Telefone</x:v>
      </x:c>
      <x:c r="D164" s="18" t="str">
        <x:v>CL077</x:v>
      </x:c>
      <x:c r="E164" s="18" t="str">
        <x:v>Refrigeração</x:v>
      </x:c>
      <x:c r="F164" s="18" t="str">
        <x:v>Leste</x:v>
      </x:c>
      <x:c r="G164" s="18" t="str">
        <x:v>Alta</x:v>
      </x:c>
      <x:c r="H164" s="21" t="n">
        <x:v>46165.583333333336</x:v>
      </x:c>
      <x:c r="I164" s="24" t="n">
        <x:f>ROUND((H164-B164)*1440,0)</x:f>
        <x:v>234</x:v>
      </x:c>
      <x:c r="J164" s="24" t="n">
        <x:f>IF(I164&gt;240,1,0)</x:f>
        <x:v>0</x:v>
      </x:c>
      <x:c r="K164" s="24" t="n">
        <x:f>IF(AND(D164&lt;&gt;"",E164&lt;&gt;"",F164&lt;&gt;""),1,0)</x:f>
        <x:v>1</x:v>
      </x:c>
      <x:c r="L164" s="27" t="str">
        <x:v>Cadastro mínimo presente.</x:v>
      </x:c>
    </x:row>
    <x:row r="165">
      <x:c r="A165" s="18" t="str">
        <x:v>CT164</x:v>
      </x:c>
      <x:c r="B165" s="21" t="n">
        <x:v>46166.47152777778</x:v>
      </x:c>
      <x:c r="C165" s="18" t="str">
        <x:v>Indicação</x:v>
      </x:c>
      <x:c r="D165" s="18" t="str">
        <x:v>CL078</x:v>
      </x:c>
      <x:c r="E165" s="18" t="str">
        <x:v>Hidráulica leve</x:v>
      </x:c>
      <x:c r="F165" s="18" t="str">
        <x:v>Oeste</x:v>
      </x:c>
      <x:c r="G165" s="18" t="str">
        <x:v>Não informada</x:v>
      </x:c>
      <x:c r="H165" s="21" t="n">
        <x:v>46166.634722222225</x:v>
      </x:c>
      <x:c r="I165" s="24" t="n">
        <x:f>ROUND((H165-B165)*1440,0)</x:f>
        <x:v>235</x:v>
      </x:c>
      <x:c r="J165" s="24" t="n">
        <x:f>IF(I165&gt;240,1,0)</x:f>
        <x:v>0</x:v>
      </x:c>
      <x:c r="K165" s="24" t="n">
        <x:f>IF(AND(D165&lt;&gt;"",E165&lt;&gt;"",F165&lt;&gt;""),1,0)</x:f>
        <x:v>1</x:v>
      </x:c>
      <x:c r="L165" s="27" t="str">
        <x:v>Cadastro mínimo presente.</x:v>
      </x:c>
    </x:row>
    <x:row r="166">
      <x:c r="A166" s="18" t="str">
        <x:v>CT165</x:v>
      </x:c>
      <x:c r="B166" s="21" t="n">
        <x:v>46167.52222222222</x:v>
      </x:c>
      <x:c r="C166" s="18" t="str">
        <x:v>Formulário</x:v>
      </x:c>
      <x:c r="D166" s="18" t="str">
        <x:v>CL079</x:v>
      </x:c>
      <x:c r="E166" s="18" t="str">
        <x:v>Elétrica leve</x:v>
      </x:c>
      <x:c r="F166" s="18" t="str">
        <x:v>Centro</x:v>
      </x:c>
      <x:c r="G166" s="18" t="str">
        <x:v>Baixa</x:v>
      </x:c>
      <x:c r="H166" s="21" t="n">
        <x:v>46167.825</x:v>
      </x:c>
      <x:c r="I166" s="24" t="n">
        <x:f>ROUND((H166-B166)*1440,0)</x:f>
        <x:v>436</x:v>
      </x:c>
      <x:c r="J166" s="24" t="n">
        <x:f>IF(I166&gt;240,1,0)</x:f>
        <x:v>1</x:v>
      </x:c>
      <x:c r="K166" s="24" t="n">
        <x:f>IF(AND(D166&lt;&gt;"",E166&lt;&gt;"",F166&lt;&gt;""),1,0)</x:f>
        <x:v>1</x:v>
      </x:c>
      <x:c r="L166" s="27" t="str">
        <x:v>Cadastro mínimo presente.</x:v>
      </x:c>
    </x:row>
    <x:row r="167">
      <x:c r="A167" s="18" t="str">
        <x:v>CT166</x:v>
      </x:c>
      <x:c r="B167" s="21" t="n">
        <x:v>46168.572916666664</x:v>
      </x:c>
      <x:c r="C167" s="18" t="str">
        <x:v>Mensageria</x:v>
      </x:c>
      <x:c r="D167" s="18" t="str">
        <x:v>CL080</x:v>
      </x:c>
      <x:c r="E167" s="18" t="str">
        <x:v>Climatização</x:v>
      </x:c>
      <x:c r="F167" s="18" t="str">
        <x:v>Norte</x:v>
      </x:c>
      <x:c r="G167" s="18" t="str">
        <x:v>Média</x:v>
      </x:c>
      <x:c r="H167" s="21" t="n">
        <x:v>46168.78680555556</x:v>
      </x:c>
      <x:c r="I167" s="24" t="n">
        <x:f>ROUND((H167-B167)*1440,0)</x:f>
        <x:v>308</x:v>
      </x:c>
      <x:c r="J167" s="24" t="n">
        <x:f>IF(I167&gt;240,1,0)</x:f>
        <x:v>1</x:v>
      </x:c>
      <x:c r="K167" s="24" t="n">
        <x:f>IF(AND(D167&lt;&gt;"",E167&lt;&gt;"",F167&lt;&gt;""),1,0)</x:f>
        <x:v>1</x:v>
      </x:c>
      <x:c r="L167" s="27" t="str">
        <x:v>Cadastro mínimo presente.</x:v>
      </x:c>
    </x:row>
    <x:row r="168">
      <x:c r="A168" s="18" t="str">
        <x:v>CT167</x:v>
      </x:c>
      <x:c r="B168" s="21" t="n">
        <x:v>46169.623611111114</x:v>
      </x:c>
      <x:c r="C168" s="18" t="str">
        <x:v>Telefone</x:v>
      </x:c>
      <x:c r="D168" s="18" t="str">
        <x:v>CL081</x:v>
      </x:c>
      <x:c r="E168" s="18" t="str">
        <x:v>Refrigeração</x:v>
      </x:c>
      <x:c r="F168" s="18" t="str">
        <x:v>Sul</x:v>
      </x:c>
      <x:c r="G168" s="18" t="str">
        <x:v>Alta</x:v>
      </x:c>
      <x:c r="H168" s="21" t="n">
        <x:v>46169.674305555556</x:v>
      </x:c>
      <x:c r="I168" s="24" t="n">
        <x:f>ROUND((H168-B168)*1440,0)</x:f>
        <x:v>73</x:v>
      </x:c>
      <x:c r="J168" s="24" t="n">
        <x:f>IF(I168&gt;240,1,0)</x:f>
        <x:v>0</x:v>
      </x:c>
      <x:c r="K168" s="24" t="n">
        <x:f>IF(AND(D168&lt;&gt;"",E168&lt;&gt;"",F168&lt;&gt;""),1,0)</x:f>
        <x:v>1</x:v>
      </x:c>
      <x:c r="L168" s="27" t="str">
        <x:v>Cadastro mínimo presente.</x:v>
      </x:c>
    </x:row>
    <x:row r="169">
      <x:c r="A169" s="18" t="str">
        <x:v>CT168</x:v>
      </x:c>
      <x:c r="B169" s="21" t="n">
        <x:v>46170.63263888889</x:v>
      </x:c>
      <x:c r="C169" s="18" t="str">
        <x:v>Indicação</x:v>
      </x:c>
      <x:c r="D169" s="18" t="str">
        <x:v>CL082</x:v>
      </x:c>
      <x:c r="E169" s="18" t="str">
        <x:v>Hidráulica leve</x:v>
      </x:c>
      <x:c r="F169" s="18" t="str">
        <x:v>Leste</x:v>
      </x:c>
      <x:c r="G169" s="18" t="str">
        <x:v>Não informada</x:v>
      </x:c>
      <x:c r="H169" s="21" t="n">
        <x:v>46171.104166666664</x:v>
      </x:c>
      <x:c r="I169" s="24" t="n">
        <x:f>ROUND((H169-B169)*1440,0)</x:f>
        <x:v>679</x:v>
      </x:c>
      <x:c r="J169" s="24" t="n">
        <x:f>IF(I169&gt;240,1,0)</x:f>
        <x:v>1</x:v>
      </x:c>
      <x:c r="K169" s="24" t="n">
        <x:f>IF(AND(D169&lt;&gt;"",E169&lt;&gt;"",F169&lt;&gt;""),1,0)</x:f>
        <x:v>1</x:v>
      </x:c>
      <x:c r="L169" s="27" t="str">
        <x:v>Cadastro mínimo presente.</x:v>
      </x:c>
    </x:row>
    <x:row r="170">
      <x:c r="A170" s="18" t="str">
        <x:v>CT169</x:v>
      </x:c>
      <x:c r="B170" s="21" t="n">
        <x:v>46143.683333333334</x:v>
      </x:c>
      <x:c r="C170" s="18" t="str">
        <x:v>Formulário</x:v>
      </x:c>
      <x:c r="D170" s="18" t="str">
        <x:v>CL083</x:v>
      </x:c>
      <x:c r="E170" s="18" t="str">
        <x:v>Elétrica leve</x:v>
      </x:c>
      <x:c r="F170" s="18" t="str">
        <x:v>Oeste</x:v>
      </x:c>
      <x:c r="G170" s="18" t="str">
        <x:v>Baixa</x:v>
      </x:c>
      <x:c r="H170" s="21" t="n">
        <x:v>46143.84722222222</x:v>
      </x:c>
      <x:c r="I170" s="24" t="n">
        <x:f>ROUND((H170-B170)*1440,0)</x:f>
        <x:v>236</x:v>
      </x:c>
      <x:c r="J170" s="24" t="n">
        <x:f>IF(I170&gt;240,1,0)</x:f>
        <x:v>0</x:v>
      </x:c>
      <x:c r="K170" s="24" t="n">
        <x:f>IF(AND(D170&lt;&gt;"",E170&lt;&gt;"",F170&lt;&gt;""),1,0)</x:f>
        <x:v>1</x:v>
      </x:c>
      <x:c r="L170" s="27" t="str">
        <x:v>Cadastro mínimo presente.</x:v>
      </x:c>
    </x:row>
    <x:row r="171">
      <x:c r="A171" s="18" t="str">
        <x:v>CT170</x:v>
      </x:c>
      <x:c r="B171" s="21" t="n">
        <x:v>46144.73402777778</x:v>
      </x:c>
      <x:c r="C171" s="18" t="str">
        <x:v>Mensageria</x:v>
      </x:c>
      <x:c r="D171" s="18" t="str">
        <x:v>CL084</x:v>
      </x:c>
      <x:c r="E171" s="18" t="str">
        <x:v>Climatização</x:v>
      </x:c>
      <x:c r="F171" s="18" t="str">
        <x:v>Centro</x:v>
      </x:c>
      <x:c r="G171" s="18" t="str">
        <x:v>Média</x:v>
      </x:c>
      <x:c r="H171" s="21" t="n">
        <x:v>46145.052083333336</x:v>
      </x:c>
      <x:c r="I171" s="24" t="n">
        <x:f>ROUND((H171-B171)*1440,0)</x:f>
        <x:v>458</x:v>
      </x:c>
      <x:c r="J171" s="24" t="n">
        <x:f>IF(I171&gt;240,1,0)</x:f>
        <x:v>1</x:v>
      </x:c>
      <x:c r="K171" s="24" t="n">
        <x:f>IF(AND(D171&lt;&gt;"",E171&lt;&gt;"",F171&lt;&gt;""),1,0)</x:f>
        <x:v>1</x:v>
      </x:c>
      <x:c r="L171" s="27" t="str">
        <x:v>Cadastro mínimo presente.</x:v>
      </x:c>
    </x:row>
    <x:row r="172">
      <x:c r="A172" s="18" t="str">
        <x:v>CT171</x:v>
      </x:c>
      <x:c r="B172" s="21" t="n">
        <x:v>46145.368055555555</x:v>
      </x:c>
      <x:c r="C172" s="18" t="str">
        <x:v>Telefone</x:v>
      </x:c>
      <x:c r="D172" s="18" t="str">
        <x:v>CL085</x:v>
      </x:c>
      <x:c r="E172" s="18" t="str">
        <x:v>Refrigeração</x:v>
      </x:c>
      <x:c r="F172" s="18" t="str">
        <x:v>Norte</x:v>
      </x:c>
      <x:c r="G172" s="18" t="str">
        <x:v>Alta</x:v>
      </x:c>
      <x:c r="H172" s="21" t="n">
        <x:v>46145.481944444444</x:v>
      </x:c>
      <x:c r="I172" s="24" t="n">
        <x:f>ROUND((H172-B172)*1440,0)</x:f>
        <x:v>164</x:v>
      </x:c>
      <x:c r="J172" s="24" t="n">
        <x:f>IF(I172&gt;240,1,0)</x:f>
        <x:v>0</x:v>
      </x:c>
      <x:c r="K172" s="24" t="n">
        <x:f>IF(AND(D172&lt;&gt;"",E172&lt;&gt;"",F172&lt;&gt;""),1,0)</x:f>
        <x:v>1</x:v>
      </x:c>
      <x:c r="L172" s="27" t="str">
        <x:v>Cadastro mínimo presente.</x:v>
      </x:c>
    </x:row>
    <x:row r="173">
      <x:c r="A173" s="18" t="str">
        <x:v>CT172</x:v>
      </x:c>
      <x:c r="B173" s="21" t="n">
        <x:v>46146.37708333333</x:v>
      </x:c>
      <x:c r="C173" s="18" t="str">
        <x:v>Indicação</x:v>
      </x:c>
      <x:c r="D173" s="18" t="str">
        <x:v>CL086</x:v>
      </x:c>
      <x:c r="E173" s="18" t="str">
        <x:v>Hidráulica leve</x:v>
      </x:c>
      <x:c r="F173" s="18" t="str">
        <x:v>Sul</x:v>
      </x:c>
      <x:c r="G173" s="18" t="str">
        <x:v>Não informada</x:v>
      </x:c>
      <x:c r="H173" s="21" t="n">
        <x:v>46146.54027777778</x:v>
      </x:c>
      <x:c r="I173" s="24" t="n">
        <x:f>ROUND((H173-B173)*1440,0)</x:f>
        <x:v>235</x:v>
      </x:c>
      <x:c r="J173" s="24" t="n">
        <x:f>IF(I173&gt;240,1,0)</x:f>
        <x:v>0</x:v>
      </x:c>
      <x:c r="K173" s="24" t="n">
        <x:f>IF(AND(D173&lt;&gt;"",E173&lt;&gt;"",F173&lt;&gt;""),1,0)</x:f>
        <x:v>1</x:v>
      </x:c>
      <x:c r="L173" s="27" t="str">
        <x:v>Cadastro mínimo presente.</x:v>
      </x:c>
    </x:row>
    <x:row r="174">
      <x:c r="A174" s="18" t="str">
        <x:v>CT173</x:v>
      </x:c>
      <x:c r="B174" s="21" t="n">
        <x:v>46147.427777777775</x:v>
      </x:c>
      <x:c r="C174" s="18" t="str">
        <x:v>Formulário</x:v>
      </x:c>
      <x:c r="D174" s="18" t="str">
        <x:v>CL001</x:v>
      </x:c>
      <x:c r="E174" s="18" t="str">
        <x:v>Elétrica leve</x:v>
      </x:c>
      <x:c r="F174" s="18" t="str">
        <x:v>Leste</x:v>
      </x:c>
      <x:c r="G174" s="18" t="str">
        <x:v>Baixa</x:v>
      </x:c>
      <x:c r="H174" s="21" t="n">
        <x:v>46147.58888888889</x:v>
      </x:c>
      <x:c r="I174" s="24" t="n">
        <x:f>ROUND((H174-B174)*1440,0)</x:f>
        <x:v>232</x:v>
      </x:c>
      <x:c r="J174" s="24" t="n">
        <x:f>IF(I174&gt;240,1,0)</x:f>
        <x:v>0</x:v>
      </x:c>
      <x:c r="K174" s="24" t="n">
        <x:f>IF(AND(D174&lt;&gt;"",E174&lt;&gt;"",F174&lt;&gt;""),1,0)</x:f>
        <x:v>1</x:v>
      </x:c>
      <x:c r="L174" s="27" t="str">
        <x:v>Cadastro mínimo presente.</x:v>
      </x:c>
    </x:row>
    <x:row r="175">
      <x:c r="A175" s="18" t="str">
        <x:v>CT174</x:v>
      </x:c>
      <x:c r="B175" s="21" t="n">
        <x:v>46148.478472222225</x:v>
      </x:c>
      <x:c r="C175" s="18" t="str">
        <x:v>Mensageria</x:v>
      </x:c>
      <x:c r="D175" s="18" t="str">
        <x:v>CL002</x:v>
      </x:c>
      <x:c r="E175" s="18" t="str">
        <x:v>Climatização</x:v>
      </x:c>
      <x:c r="F175" s="18" t="str">
        <x:v>Oeste</x:v>
      </x:c>
      <x:c r="G175" s="18" t="str">
        <x:v>Média</x:v>
      </x:c>
      <x:c r="H175" s="21" t="n">
        <x:v>46148.64444444444</x:v>
      </x:c>
      <x:c r="I175" s="24" t="n">
        <x:f>ROUND((H175-B175)*1440,0)</x:f>
        <x:v>239</x:v>
      </x:c>
      <x:c r="J175" s="24" t="n">
        <x:f>IF(I175&gt;240,1,0)</x:f>
        <x:v>0</x:v>
      </x:c>
      <x:c r="K175" s="24" t="n">
        <x:f>IF(AND(D175&lt;&gt;"",E175&lt;&gt;"",F175&lt;&gt;""),1,0)</x:f>
        <x:v>1</x:v>
      </x:c>
      <x:c r="L175" s="27" t="str">
        <x:v>Cadastro mínimo presente.</x:v>
      </x:c>
    </x:row>
    <x:row r="176">
      <x:c r="A176" s="18" t="str">
        <x:v>CT175</x:v>
      </x:c>
      <x:c r="B176" s="21" t="n">
        <x:v>46149.52916666667</x:v>
      </x:c>
      <x:c r="C176" s="18" t="str">
        <x:v>Telefone</x:v>
      </x:c>
      <x:c r="D176" s="18" t="str">
        <x:v>CL003</x:v>
      </x:c>
      <x:c r="E176" s="18" t="str">
        <x:v>Refrigeração</x:v>
      </x:c>
      <x:c r="F176" s="18" t="str">
        <x:v>Centro</x:v>
      </x:c>
      <x:c r="G176" s="18" t="str">
        <x:v>Alta</x:v>
      </x:c>
      <x:c r="H176" s="21" t="n">
        <x:v>46149.69583333333</x:v>
      </x:c>
      <x:c r="I176" s="24" t="n">
        <x:f>ROUND((H176-B176)*1440,0)</x:f>
        <x:v>240</x:v>
      </x:c>
      <x:c r="J176" s="24" t="n">
        <x:f>IF(I176&gt;240,1,0)</x:f>
        <x:v>0</x:v>
      </x:c>
      <x:c r="K176" s="24" t="n">
        <x:f>IF(AND(D176&lt;&gt;"",E176&lt;&gt;"",F176&lt;&gt;""),1,0)</x:f>
        <x:v>1</x:v>
      </x:c>
      <x:c r="L176" s="27" t="str">
        <x:v>Cadastro mínimo presente.</x:v>
      </x:c>
    </x:row>
    <x:row r="177">
      <x:c r="A177" s="18" t="str">
        <x:v>CT176</x:v>
      </x:c>
      <x:c r="B177" s="21" t="n">
        <x:v>46150.57986111111</x:v>
      </x:c>
      <x:c r="C177" s="18" t="str">
        <x:v>Indicação</x:v>
      </x:c>
      <x:c r="D177" s="18" t="str">
        <x:v>CL004</x:v>
      </x:c>
      <x:c r="E177" s="18" t="str">
        <x:v>Hidráulica leve</x:v>
      </x:c>
      <x:c r="F177" s="18" t="str">
        <x:v>Norte</x:v>
      </x:c>
      <x:c r="G177" s="18" t="str">
        <x:v>Não informada</x:v>
      </x:c>
      <x:c r="H177" s="21" t="n">
        <x:v>46150.618055555555</x:v>
      </x:c>
      <x:c r="I177" s="24" t="n">
        <x:f>ROUND((H177-B177)*1440,0)</x:f>
        <x:v>55</x:v>
      </x:c>
      <x:c r="J177" s="24" t="n">
        <x:f>IF(I177&gt;240,1,0)</x:f>
        <x:v>0</x:v>
      </x:c>
      <x:c r="K177" s="24" t="n">
        <x:f>IF(AND(D177&lt;&gt;"",E177&lt;&gt;"",F177&lt;&gt;""),1,0)</x:f>
        <x:v>1</x:v>
      </x:c>
      <x:c r="L177" s="27" t="str">
        <x:v>Cadastro mínimo presente.</x:v>
      </x:c>
    </x:row>
    <x:row r="178">
      <x:c r="A178" s="18" t="str">
        <x:v>CT177</x:v>
      </x:c>
      <x:c r="B178" s="21" t="n">
        <x:v>46151.58888888889</x:v>
      </x:c>
      <x:c r="C178" s="18" t="str">
        <x:v>Formulário</x:v>
      </x:c>
      <x:c r="D178" s="18" t="str">
        <x:v>CL005</x:v>
      </x:c>
      <x:c r="E178" s="18" t="str">
        <x:v>Elétrica leve</x:v>
      </x:c>
      <x:c r="F178" s="18" t="str">
        <x:v>Sul</x:v>
      </x:c>
      <x:c r="G178" s="18" t="str">
        <x:v>Baixa</x:v>
      </x:c>
      <x:c r="H178" s="21" t="n">
        <x:v>46151.75069444445</x:v>
      </x:c>
      <x:c r="I178" s="24" t="n">
        <x:f>ROUND((H178-B178)*1440,0)</x:f>
        <x:v>233</x:v>
      </x:c>
      <x:c r="J178" s="24" t="n">
        <x:f>IF(I178&gt;240,1,0)</x:f>
        <x:v>0</x:v>
      </x:c>
      <x:c r="K178" s="24" t="n">
        <x:f>IF(AND(D178&lt;&gt;"",E178&lt;&gt;"",F178&lt;&gt;""),1,0)</x:f>
        <x:v>1</x:v>
      </x:c>
      <x:c r="L178" s="27" t="str">
        <x:v>Cadastro mínimo presente.</x:v>
      </x:c>
    </x:row>
    <x:row r="179">
      <x:c r="A179" s="18" t="str">
        <x:v>CT178</x:v>
      </x:c>
      <x:c r="B179" s="21" t="n">
        <x:v>46152.63958333333</x:v>
      </x:c>
      <x:c r="C179" s="18" t="str">
        <x:v>Mensageria</x:v>
      </x:c>
      <x:c r="D179" s="18" t="str">
        <x:v>CL006</x:v>
      </x:c>
      <x:c r="E179" s="18" t="str">
        <x:v>Climatização</x:v>
      </x:c>
      <x:c r="F179" s="18" t="str">
        <x:v>Leste</x:v>
      </x:c>
      <x:c r="G179" s="18" t="str">
        <x:v>Média</x:v>
      </x:c>
      <x:c r="H179" s="21" t="n">
        <x:v>46152.73541666667</x:v>
      </x:c>
      <x:c r="I179" s="24" t="n">
        <x:f>ROUND((H179-B179)*1440,0)</x:f>
        <x:v>138</x:v>
      </x:c>
      <x:c r="J179" s="24" t="n">
        <x:f>IF(I179&gt;240,1,0)</x:f>
        <x:v>0</x:v>
      </x:c>
      <x:c r="K179" s="24" t="n">
        <x:f>IF(AND(D179&lt;&gt;"",E179&lt;&gt;"",F179&lt;&gt;""),1,0)</x:f>
        <x:v>1</x:v>
      </x:c>
      <x:c r="L179" s="27" t="str">
        <x:v>Cadastro mínimo presente.</x:v>
      </x:c>
    </x:row>
    <x:row r="180">
      <x:c r="A180" s="18" t="str">
        <x:v>CT179</x:v>
      </x:c>
      <x:c r="B180" s="21" t="n">
        <x:v>46153.69027777778</x:v>
      </x:c>
      <x:c r="C180" s="18" t="str">
        <x:v>Telefone</x:v>
      </x:c>
      <x:c r="D180" s="18" t="str">
        <x:v>CL007</x:v>
      </x:c>
      <x:c r="E180" s="18" t="str">
        <x:v>Refrigeração</x:v>
      </x:c>
      <x:c r="F180" s="18" t="str">
        <x:v>Oeste</x:v>
      </x:c>
      <x:c r="G180" s="18" t="str">
        <x:v>Alta</x:v>
      </x:c>
      <x:c r="H180" s="21" t="n">
        <x:v>46153.777083333334</x:v>
      </x:c>
      <x:c r="I180" s="24" t="n">
        <x:f>ROUND((H180-B180)*1440,0)</x:f>
        <x:v>125</x:v>
      </x:c>
      <x:c r="J180" s="24" t="n">
        <x:f>IF(I180&gt;240,1,0)</x:f>
        <x:v>0</x:v>
      </x:c>
      <x:c r="K180" s="24" t="n">
        <x:f>IF(AND(D180&lt;&gt;"",E180&lt;&gt;"",F180&lt;&gt;""),1,0)</x:f>
        <x:v>1</x:v>
      </x:c>
      <x:c r="L180" s="27" t="str">
        <x:v>Cadastro mínimo presente.</x:v>
      </x:c>
    </x:row>
    <x:row r="181">
      <x:c r="A181" s="18" t="str">
        <x:v>CT180</x:v>
      </x:c>
      <x:c r="B181" s="21" t="n">
        <x:v>46154.74097222222</x:v>
      </x:c>
      <x:c r="C181" s="18" t="str">
        <x:v>Indicação</x:v>
      </x:c>
      <x:c r="D181" s="18" t="str">
        <x:v>CL008</x:v>
      </x:c>
      <x:c r="E181" s="18" t="str">
        <x:v>Hidráulica leve</x:v>
      </x:c>
      <x:c r="F181" s="18" t="str">
        <x:v>Centro</x:v>
      </x:c>
      <x:c r="G181" s="18" t="str">
        <x:v>Não informada</x:v>
      </x:c>
      <x:c r="H181" s="21" t="n">
        <x:v>46154.91805555556</x:v>
      </x:c>
      <x:c r="I181" s="24" t="n">
        <x:f>ROUND((H181-B181)*1440,0)</x:f>
        <x:v>255</x:v>
      </x:c>
      <x:c r="J181" s="24" t="n">
        <x:f>IF(I181&gt;240,1,0)</x:f>
        <x:v>1</x:v>
      </x:c>
      <x:c r="K181" s="24" t="n">
        <x:f>IF(AND(D181&lt;&gt;"",E181&lt;&gt;"",F181&lt;&gt;""),1,0)</x:f>
        <x:v>1</x:v>
      </x:c>
      <x:c r="L181" s="27" t="str">
        <x:v>Cadastro mínimo presente.</x:v>
      </x:c>
    </x:row>
    <x:row r="182">
      <x:c r="A182" s="18" t="str">
        <x:v>CT181</x:v>
      </x:c>
      <x:c r="B182" s="21" t="n">
        <x:v>46155.333333333336</x:v>
      </x:c>
      <x:c r="C182" s="18" t="str">
        <x:v>Formulário</x:v>
      </x:c>
      <x:c r="D182" s="18" t="str">
        <x:v>CL009</x:v>
      </x:c>
      <x:c r="E182" s="18" t="str">
        <x:v>Elétrica leve</x:v>
      </x:c>
      <x:c r="F182" s="18" t="str">
        <x:v>Norte</x:v>
      </x:c>
      <x:c r="G182" s="18" t="str">
        <x:v>Baixa</x:v>
      </x:c>
      <x:c r="H182" s="21" t="n">
        <x:v>46155.42986111111</x:v>
      </x:c>
      <x:c r="I182" s="24" t="n">
        <x:f>ROUND((H182-B182)*1440,0)</x:f>
        <x:v>139</x:v>
      </x:c>
      <x:c r="J182" s="24" t="n">
        <x:f>IF(I182&gt;240,1,0)</x:f>
        <x:v>0</x:v>
      </x:c>
      <x:c r="K182" s="24" t="n">
        <x:f>IF(AND(D182&lt;&gt;"",E182&lt;&gt;"",F182&lt;&gt;""),1,0)</x:f>
        <x:v>1</x:v>
      </x:c>
      <x:c r="L182" s="27" t="str">
        <x:v>Cadastro mínimo presente.</x:v>
      </x:c>
    </x:row>
    <x:row r="183">
      <x:c r="A183" s="18" t="str">
        <x:v>CT182</x:v>
      </x:c>
      <x:c r="B183" s="21" t="n">
        <x:v>46156.38402777778</x:v>
      </x:c>
      <x:c r="C183" s="18" t="str">
        <x:v>Mensageria</x:v>
      </x:c>
      <x:c r="D183" s="18" t="str">
        <x:v>CL010</x:v>
      </x:c>
      <x:c r="E183" s="18" t="str">
        <x:v>Climatização</x:v>
      </x:c>
      <x:c r="F183" s="18" t="str">
        <x:v>Sul</x:v>
      </x:c>
      <x:c r="G183" s="18" t="str">
        <x:v>Média</x:v>
      </x:c>
      <x:c r="H183" s="21" t="n">
        <x:v>46156.44027777778</x:v>
      </x:c>
      <x:c r="I183" s="24" t="n">
        <x:f>ROUND((H183-B183)*1440,0)</x:f>
        <x:v>81</x:v>
      </x:c>
      <x:c r="J183" s="24" t="n">
        <x:f>IF(I183&gt;240,1,0)</x:f>
        <x:v>0</x:v>
      </x:c>
      <x:c r="K183" s="24" t="n">
        <x:f>IF(AND(D183&lt;&gt;"",E183&lt;&gt;"",F183&lt;&gt;""),1,0)</x:f>
        <x:v>1</x:v>
      </x:c>
      <x:c r="L183" s="27" t="str">
        <x:v>Cadastro mínimo presente.</x:v>
      </x:c>
    </x:row>
    <x:row r="184">
      <x:c r="A184" s="18" t="str">
        <x:v>CT183</x:v>
      </x:c>
      <x:c r="B184" s="21" t="n">
        <x:v>46157.43472222222</x:v>
      </x:c>
      <x:c r="C184" s="18" t="str">
        <x:v>Telefone</x:v>
      </x:c>
      <x:c r="D184" s="18" t="str">
        <x:v>CL011</x:v>
      </x:c>
      <x:c r="E184" s="18" t="str">
        <x:v>Refrigeração</x:v>
      </x:c>
      <x:c r="F184" s="18" t="str">
        <x:v>Leste</x:v>
      </x:c>
      <x:c r="G184" s="18" t="str">
        <x:v>Alta</x:v>
      </x:c>
      <x:c r="H184" s="21" t="n">
        <x:v>46157.595138888886</x:v>
      </x:c>
      <x:c r="I184" s="24" t="n">
        <x:f>ROUND((H184-B184)*1440,0)</x:f>
        <x:v>231</x:v>
      </x:c>
      <x:c r="J184" s="24" t="n">
        <x:f>IF(I184&gt;240,1,0)</x:f>
        <x:v>0</x:v>
      </x:c>
      <x:c r="K184" s="24" t="n">
        <x:f>IF(AND(D184&lt;&gt;"",E184&lt;&gt;"",F184&lt;&gt;""),1,0)</x:f>
        <x:v>1</x:v>
      </x:c>
      <x:c r="L184" s="27" t="str">
        <x:v>Cadastro mínimo presente.</x:v>
      </x:c>
    </x:row>
    <x:row r="185">
      <x:c r="A185" s="18" t="str">
        <x:v>CT184</x:v>
      </x:c>
      <x:c r="B185" s="21" t="n">
        <x:v>46158.48541666667</x:v>
      </x:c>
      <x:c r="C185" s="18" t="str">
        <x:v>Indicação</x:v>
      </x:c>
      <x:c r="D185" s="18" t="str">
        <x:v>CL012</x:v>
      </x:c>
      <x:c r="E185" s="18" t="str">
        <x:v>Hidráulica leve</x:v>
      </x:c>
      <x:c r="F185" s="18" t="str">
        <x:v>Oeste</x:v>
      </x:c>
      <x:c r="G185" s="18" t="str">
        <x:v>Não informada</x:v>
      </x:c>
      <x:c r="H185" s="21" t="n">
        <x:v>46158.552777777775</x:v>
      </x:c>
      <x:c r="I185" s="24" t="n">
        <x:f>ROUND((H185-B185)*1440,0)</x:f>
        <x:v>97</x:v>
      </x:c>
      <x:c r="J185" s="24" t="n">
        <x:f>IF(I185&gt;240,1,0)</x:f>
        <x:v>0</x:v>
      </x:c>
      <x:c r="K185" s="24" t="n">
        <x:f>IF(AND(D185&lt;&gt;"",E185&lt;&gt;"",F185&lt;&gt;""),1,0)</x:f>
        <x:v>1</x:v>
      </x:c>
      <x:c r="L185" s="27" t="str">
        <x:v>Cadastro mínimo presente.</x:v>
      </x:c>
    </x:row>
    <x:row r="186">
      <x:c r="A186" s="18" t="str">
        <x:v>CT185</x:v>
      </x:c>
      <x:c r="B186" s="21" t="n">
        <x:v>46159.53611111111</x:v>
      </x:c>
      <x:c r="C186" s="18" t="str">
        <x:v>Formulário</x:v>
      </x:c>
      <x:c r="D186" s="18" t="str">
        <x:v>CL013</x:v>
      </x:c>
      <x:c r="E186" s="18" t="str">
        <x:v>Elétrica leve</x:v>
      </x:c>
      <x:c r="F186" s="18" t="str">
        <x:v>Centro</x:v>
      </x:c>
      <x:c r="G186" s="18" t="str">
        <x:v>Baixa</x:v>
      </x:c>
      <x:c r="H186" s="21" t="n">
        <x:v>46159.81736111111</x:v>
      </x:c>
      <x:c r="I186" s="24" t="n">
        <x:f>ROUND((H186-B186)*1440,0)</x:f>
        <x:v>405</x:v>
      </x:c>
      <x:c r="J186" s="24" t="n">
        <x:f>IF(I186&gt;240,1,0)</x:f>
        <x:v>1</x:v>
      </x:c>
      <x:c r="K186" s="24" t="n">
        <x:f>IF(AND(D186&lt;&gt;"",E186&lt;&gt;"",F186&lt;&gt;""),1,0)</x:f>
        <x:v>1</x:v>
      </x:c>
      <x:c r="L186" s="27" t="str">
        <x:v>Cadastro mínimo presente.</x:v>
      </x:c>
    </x:row>
    <x:row r="187">
      <x:c r="A187" s="18" t="str">
        <x:v>CT186</x:v>
      </x:c>
      <x:c r="B187" s="21" t="n">
        <x:v>46160.54513888889</x:v>
      </x:c>
      <x:c r="C187" s="18" t="str">
        <x:v>Mensageria</x:v>
      </x:c>
      <x:c r="D187" s="18" t="str">
        <x:v>CL014</x:v>
      </x:c>
      <x:c r="E187" s="18" t="str">
        <x:v>Climatização</x:v>
      </x:c>
      <x:c r="F187" s="18" t="str">
        <x:v>Norte</x:v>
      </x:c>
      <x:c r="G187" s="18" t="str">
        <x:v>Média</x:v>
      </x:c>
      <x:c r="H187" s="21" t="n">
        <x:v>46160.604166666664</x:v>
      </x:c>
      <x:c r="I187" s="24" t="n">
        <x:f>ROUND((H187-B187)*1440,0)</x:f>
        <x:v>85</x:v>
      </x:c>
      <x:c r="J187" s="24" t="n">
        <x:f>IF(I187&gt;240,1,0)</x:f>
        <x:v>0</x:v>
      </x:c>
      <x:c r="K187" s="24" t="n">
        <x:f>IF(AND(D187&lt;&gt;"",E187&lt;&gt;"",F187&lt;&gt;""),1,0)</x:f>
        <x:v>1</x:v>
      </x:c>
      <x:c r="L187" s="27" t="str">
        <x:v>Cadastro mínimo presente.</x:v>
      </x:c>
    </x:row>
    <x:row r="188">
      <x:c r="A188" s="18" t="str">
        <x:v>CT187</x:v>
      </x:c>
      <x:c r="B188" s="21" t="n">
        <x:v>46161.59583333333</x:v>
      </x:c>
      <x:c r="C188" s="18" t="str">
        <x:v>Telefone</x:v>
      </x:c>
      <x:c r="D188" s="18" t="str">
        <x:v>CL015</x:v>
      </x:c>
      <x:c r="E188" s="18" t="str">
        <x:v>Refrigeração</x:v>
      </x:c>
      <x:c r="F188" s="18" t="str">
        <x:v>Sul</x:v>
      </x:c>
      <x:c r="G188" s="18" t="str">
        <x:v>Alta</x:v>
      </x:c>
      <x:c r="H188" s="21" t="n">
        <x:v>46161.63263888889</x:v>
      </x:c>
      <x:c r="I188" s="24" t="n">
        <x:f>ROUND((H188-B188)*1440,0)</x:f>
        <x:v>53</x:v>
      </x:c>
      <x:c r="J188" s="24" t="n">
        <x:f>IF(I188&gt;240,1,0)</x:f>
        <x:v>0</x:v>
      </x:c>
      <x:c r="K188" s="24" t="n">
        <x:f>IF(AND(D188&lt;&gt;"",E188&lt;&gt;"",F188&lt;&gt;""),1,0)</x:f>
        <x:v>1</x:v>
      </x:c>
      <x:c r="L188" s="27" t="str">
        <x:v>Cadastro mínimo presente.</x:v>
      </x:c>
    </x:row>
    <x:row r="189">
      <x:c r="A189" s="18" t="str">
        <x:v>CT188</x:v>
      </x:c>
      <x:c r="B189" s="21" t="n">
        <x:v>46162.646527777775</x:v>
      </x:c>
      <x:c r="C189" s="18" t="str">
        <x:v>Indicação</x:v>
      </x:c>
      <x:c r="D189" s="18" t="str">
        <x:v>CL016</x:v>
      </x:c>
      <x:c r="E189" s="18" t="str">
        <x:v>Hidráulica leve</x:v>
      </x:c>
      <x:c r="F189" s="18" t="str">
        <x:v>Leste</x:v>
      </x:c>
      <x:c r="G189" s="18" t="str">
        <x:v>Não informada</x:v>
      </x:c>
      <x:c r="H189" s="21" t="n">
        <x:v>46162.740277777775</x:v>
      </x:c>
      <x:c r="I189" s="24" t="n">
        <x:f>ROUND((H189-B189)*1440,0)</x:f>
        <x:v>135</x:v>
      </x:c>
      <x:c r="J189" s="24" t="n">
        <x:f>IF(I189&gt;240,1,0)</x:f>
        <x:v>0</x:v>
      </x:c>
      <x:c r="K189" s="24" t="n">
        <x:f>IF(AND(D189&lt;&gt;"",E189&lt;&gt;"",F189&lt;&gt;""),1,0)</x:f>
        <x:v>1</x:v>
      </x:c>
      <x:c r="L189" s="27" t="str">
        <x:v>Cadastro mínimo presente.</x:v>
      </x:c>
    </x:row>
    <x:row r="190">
      <x:c r="A190" s="18" t="str">
        <x:v>CT189</x:v>
      </x:c>
      <x:c r="B190" s="21" t="n">
        <x:v>46163.697222222225</x:v>
      </x:c>
      <x:c r="C190" s="18" t="str">
        <x:v>Formulário</x:v>
      </x:c>
      <x:c r="D190" s="18" t="str">
        <x:v>CL017</x:v>
      </x:c>
      <x:c r="E190" s="18" t="str">
        <x:v>Elétrica leve</x:v>
      </x:c>
      <x:c r="F190" s="18" t="str">
        <x:v>Oeste</x:v>
      </x:c>
      <x:c r="G190" s="18" t="str">
        <x:v>Baixa</x:v>
      </x:c>
      <x:c r="H190" s="21" t="n">
        <x:v>46164.09652777778</x:v>
      </x:c>
      <x:c r="I190" s="24" t="n">
        <x:f>ROUND((H190-B190)*1440,0)</x:f>
        <x:v>575</x:v>
      </x:c>
      <x:c r="J190" s="24" t="n">
        <x:f>IF(I190&gt;240,1,0)</x:f>
        <x:v>1</x:v>
      </x:c>
      <x:c r="K190" s="24" t="n">
        <x:f>IF(AND(D190&lt;&gt;"",E190&lt;&gt;"",F190&lt;&gt;""),1,0)</x:f>
        <x:v>1</x:v>
      </x:c>
      <x:c r="L190" s="27" t="str">
        <x:v>Cadastro mínimo presente.</x:v>
      </x:c>
    </x:row>
    <x:row r="191">
      <x:c r="A191" s="18" t="str">
        <x:v>CT190</x:v>
      </x:c>
      <x:c r="B191" s="21" t="n">
        <x:v>46164.74791666667</x:v>
      </x:c>
      <x:c r="C191" s="18" t="str">
        <x:v>Mensageria</x:v>
      </x:c>
      <x:c r="D191" s="18" t="str">
        <x:v>CL018</x:v>
      </x:c>
      <x:c r="E191" s="18" t="str">
        <x:v>Climatização</x:v>
      </x:c>
      <x:c r="F191" s="18" t="str">
        <x:v>Centro</x:v>
      </x:c>
      <x:c r="G191" s="18" t="str">
        <x:v>Média</x:v>
      </x:c>
      <x:c r="H191" s="21" t="n">
        <x:v>46164.875</x:v>
      </x:c>
      <x:c r="I191" s="24" t="n">
        <x:f>ROUND((H191-B191)*1440,0)</x:f>
        <x:v>183</x:v>
      </x:c>
      <x:c r="J191" s="24" t="n">
        <x:f>IF(I191&gt;240,1,0)</x:f>
        <x:v>0</x:v>
      </x:c>
      <x:c r="K191" s="24" t="n">
        <x:f>IF(AND(D191&lt;&gt;"",E191&lt;&gt;"",F191&lt;&gt;""),1,0)</x:f>
        <x:v>1</x:v>
      </x:c>
      <x:c r="L191" s="27" t="str">
        <x:v>Cadastro mínimo presente.</x:v>
      </x:c>
    </x:row>
    <x:row r="192">
      <x:c r="A192" s="18" t="str">
        <x:v>CT191</x:v>
      </x:c>
      <x:c r="B192" s="21" t="n">
        <x:v>46165.34027777778</x:v>
      </x:c>
      <x:c r="C192" s="18" t="str">
        <x:v>Telefone</x:v>
      </x:c>
      <x:c r="D192" s="18" t="str">
        <x:v>CL019</x:v>
      </x:c>
      <x:c r="E192" s="18" t="str">
        <x:v>Refrigeração</x:v>
      </x:c>
      <x:c r="F192" s="18" t="str">
        <x:v>Norte</x:v>
      </x:c>
      <x:c r="G192" s="18" t="str">
        <x:v>Alta</x:v>
      </x:c>
      <x:c r="H192" s="21" t="n">
        <x:v>46165.41111111111</x:v>
      </x:c>
      <x:c r="I192" s="24" t="n">
        <x:f>ROUND((H192-B192)*1440,0)</x:f>
        <x:v>102</x:v>
      </x:c>
      <x:c r="J192" s="24" t="n">
        <x:f>IF(I192&gt;240,1,0)</x:f>
        <x:v>0</x:v>
      </x:c>
      <x:c r="K192" s="24" t="n">
        <x:f>IF(AND(D192&lt;&gt;"",E192&lt;&gt;"",F192&lt;&gt;""),1,0)</x:f>
        <x:v>1</x:v>
      </x:c>
      <x:c r="L192" s="27" t="str">
        <x:v>Cadastro mínimo presente.</x:v>
      </x:c>
    </x:row>
    <x:row r="193">
      <x:c r="A193" s="18" t="str">
        <x:v>CT192</x:v>
      </x:c>
      <x:c r="B193" s="21" t="n">
        <x:v>46166.39097222222</x:v>
      </x:c>
      <x:c r="C193" s="18" t="str">
        <x:v>Indicação</x:v>
      </x:c>
      <x:c r="D193" s="18" t="str">
        <x:v>CL020</x:v>
      </x:c>
      <x:c r="E193" s="18" t="str">
        <x:v>Hidráulica leve</x:v>
      </x:c>
      <x:c r="F193" s="18" t="str">
        <x:v>Sul</x:v>
      </x:c>
      <x:c r="G193" s="18" t="str">
        <x:v>Não informada</x:v>
      </x:c>
      <x:c r="H193" s="21" t="n">
        <x:v>46166.55069444444</x:v>
      </x:c>
      <x:c r="I193" s="24" t="n">
        <x:f>ROUND((H193-B193)*1440,0)</x:f>
        <x:v>230</x:v>
      </x:c>
      <x:c r="J193" s="24" t="n">
        <x:f>IF(I193&gt;240,1,0)</x:f>
        <x:v>0</x:v>
      </x:c>
      <x:c r="K193" s="24" t="n">
        <x:f>IF(AND(D193&lt;&gt;"",E193&lt;&gt;"",F193&lt;&gt;""),1,0)</x:f>
        <x:v>1</x:v>
      </x:c>
      <x:c r="L193" s="27" t="str">
        <x:v>Cadastro mínimo presente.</x:v>
      </x:c>
    </x:row>
    <x:row r="194">
      <x:c r="A194" s="18" t="str">
        <x:v>CT193</x:v>
      </x:c>
      <x:c r="B194" s="21" t="n">
        <x:v>46167.441666666666</x:v>
      </x:c>
      <x:c r="C194" s="18" t="str">
        <x:v>Formulário</x:v>
      </x:c>
      <x:c r="D194" s="18" t="str">
        <x:v>CL021</x:v>
      </x:c>
      <x:c r="E194" s="18" t="str">
        <x:v>Elétrica leve</x:v>
      </x:c>
      <x:c r="F194" s="18" t="str">
        <x:v>Leste</x:v>
      </x:c>
      <x:c r="G194" s="18" t="str">
        <x:v>Baixa</x:v>
      </x:c>
      <x:c r="H194" s="21" t="n">
        <x:v>46167.604166666664</x:v>
      </x:c>
      <x:c r="I194" s="24" t="n">
        <x:f>ROUND((H194-B194)*1440,0)</x:f>
        <x:v>234</x:v>
      </x:c>
      <x:c r="J194" s="24" t="n">
        <x:f>IF(I194&gt;240,1,0)</x:f>
        <x:v>0</x:v>
      </x:c>
      <x:c r="K194" s="24" t="n">
        <x:f>IF(AND(D194&lt;&gt;"",E194&lt;&gt;"",F194&lt;&gt;""),1,0)</x:f>
        <x:v>1</x:v>
      </x:c>
      <x:c r="L194" s="27" t="str">
        <x:v>Cadastro mínimo presente.</x:v>
      </x:c>
    </x:row>
    <x:row r="195">
      <x:c r="A195" s="18" t="str">
        <x:v>CT194</x:v>
      </x:c>
      <x:c r="B195" s="21" t="n">
        <x:v>46168.49236111111</x:v>
      </x:c>
      <x:c r="C195" s="18" t="str">
        <x:v>Mensageria</x:v>
      </x:c>
      <x:c r="D195" s="18" t="str">
        <x:v>CL022</x:v>
      </x:c>
      <x:c r="E195" s="18" t="str">
        <x:v>Climatização</x:v>
      </x:c>
      <x:c r="F195" s="18" t="str">
        <x:v>Oeste</x:v>
      </x:c>
      <x:c r="G195" s="18" t="str">
        <x:v>Média</x:v>
      </x:c>
      <x:c r="H195" s="21" t="n">
        <x:v>46168.6</x:v>
      </x:c>
      <x:c r="I195" s="24" t="n">
        <x:f>ROUND((H195-B195)*1440,0)</x:f>
        <x:v>155</x:v>
      </x:c>
      <x:c r="J195" s="24" t="n">
        <x:f>IF(I195&gt;240,1,0)</x:f>
        <x:v>0</x:v>
      </x:c>
      <x:c r="K195" s="24" t="n">
        <x:f>IF(AND(D195&lt;&gt;"",E195&lt;&gt;"",F195&lt;&gt;""),1,0)</x:f>
        <x:v>1</x:v>
      </x:c>
      <x:c r="L195" s="27" t="str">
        <x:v>Cadastro mínimo presente.</x:v>
      </x:c>
    </x:row>
    <x:row r="196">
      <x:c r="A196" s="18" t="str">
        <x:v>CT195</x:v>
      </x:c>
      <x:c r="B196" s="21" t="n">
        <x:v>46169.501388888886</x:v>
      </x:c>
      <x:c r="C196" s="18" t="str">
        <x:v>Telefone</x:v>
      </x:c>
      <x:c r="D196" s="18" t="str">
        <x:v>CL023</x:v>
      </x:c>
      <x:c r="E196" s="18" t="str">
        <x:v>Refrigeração</x:v>
      </x:c>
      <x:c r="F196" s="18" t="str">
        <x:v>Centro</x:v>
      </x:c>
      <x:c r="G196" s="18" t="str">
        <x:v>Alta</x:v>
      </x:c>
      <x:c r="H196" s="21" t="n">
        <x:v>46169.58541666667</x:v>
      </x:c>
      <x:c r="I196" s="24" t="n">
        <x:f>ROUND((H196-B196)*1440,0)</x:f>
        <x:v>121</x:v>
      </x:c>
      <x:c r="J196" s="24" t="n">
        <x:f>IF(I196&gt;240,1,0)</x:f>
        <x:v>0</x:v>
      </x:c>
      <x:c r="K196" s="24" t="n">
        <x:f>IF(AND(D196&lt;&gt;"",E196&lt;&gt;"",F196&lt;&gt;""),1,0)</x:f>
        <x:v>1</x:v>
      </x:c>
      <x:c r="L196" s="27" t="str">
        <x:v>Cadastro mínimo presente.</x:v>
      </x:c>
    </x:row>
    <x:row r="197">
      <x:c r="A197" s="18" t="str">
        <x:v>CT196</x:v>
      </x:c>
      <x:c r="B197" s="21" t="n">
        <x:v>46170.552083333336</x:v>
      </x:c>
      <x:c r="C197" s="18" t="str">
        <x:v>Indicação</x:v>
      </x:c>
      <x:c r="D197" s="18" t="str">
        <x:v>CL024</x:v>
      </x:c>
      <x:c r="E197" s="18" t="str">
        <x:v>Hidráulica leve</x:v>
      </x:c>
      <x:c r="F197" s="18" t="str">
        <x:v>Norte</x:v>
      </x:c>
      <x:c r="G197" s="18" t="str">
        <x:v>Não informada</x:v>
      </x:c>
      <x:c r="H197" s="21" t="n">
        <x:v>46170.663194444445</x:v>
      </x:c>
      <x:c r="I197" s="24" t="n">
        <x:f>ROUND((H197-B197)*1440,0)</x:f>
        <x:v>160</x:v>
      </x:c>
      <x:c r="J197" s="24" t="n">
        <x:f>IF(I197&gt;240,1,0)</x:f>
        <x:v>0</x:v>
      </x:c>
      <x:c r="K197" s="24" t="n">
        <x:f>IF(AND(D197&lt;&gt;"",E197&lt;&gt;"",F197&lt;&gt;""),1,0)</x:f>
        <x:v>1</x:v>
      </x:c>
      <x:c r="L197" s="27" t="str">
        <x:v>Cadastro mínimo presente.</x:v>
      </x:c>
    </x:row>
    <x:row r="198">
      <x:c r="A198" s="18" t="str">
        <x:v>CT197</x:v>
      </x:c>
      <x:c r="B198" s="21" t="n">
        <x:v>46143.60277777778</x:v>
      </x:c>
      <x:c r="C198" s="18" t="str">
        <x:v>Formulário</x:v>
      </x:c>
      <x:c r="D198" s="18" t="str">
        <x:v>CL025</x:v>
      </x:c>
      <x:c r="E198" s="18" t="str">
        <x:v>Elétrica leve</x:v>
      </x:c>
      <x:c r="F198" s="18" t="str">
        <x:v>Sul</x:v>
      </x:c>
      <x:c r="G198" s="18" t="str">
        <x:v>Baixa</x:v>
      </x:c>
      <x:c r="H198" s="21" t="n">
        <x:v>46143.986805555556</x:v>
      </x:c>
      <x:c r="I198" s="24" t="n">
        <x:f>ROUND((H198-B198)*1440,0)</x:f>
        <x:v>553</x:v>
      </x:c>
      <x:c r="J198" s="24" t="n">
        <x:f>IF(I198&gt;240,1,0)</x:f>
        <x:v>1</x:v>
      </x:c>
      <x:c r="K198" s="24" t="n">
        <x:f>IF(AND(D198&lt;&gt;"",E198&lt;&gt;"",F198&lt;&gt;""),1,0)</x:f>
        <x:v>1</x:v>
      </x:c>
      <x:c r="L198" s="27" t="str">
        <x:v>Cadastro mínimo presente.</x:v>
      </x:c>
    </x:row>
    <x:row r="199">
      <x:c r="A199" s="18" t="str">
        <x:v>CT198</x:v>
      </x:c>
      <x:c r="B199" s="21" t="n">
        <x:v>46144.65347222222</x:v>
      </x:c>
      <x:c r="C199" s="18" t="str">
        <x:v>Mensageria</x:v>
      </x:c>
      <x:c r="D199" s="18" t="str">
        <x:v>CL026</x:v>
      </x:c>
      <x:c r="E199" s="18" t="str">
        <x:v>Climatização</x:v>
      </x:c>
      <x:c r="F199" s="18" t="str">
        <x:v>Leste</x:v>
      </x:c>
      <x:c r="G199" s="18" t="str">
        <x:v>Média</x:v>
      </x:c>
      <x:c r="H199" s="21" t="n">
        <x:v>46144.71319444444</x:v>
      </x:c>
      <x:c r="I199" s="24" t="n">
        <x:f>ROUND((H199-B199)*1440,0)</x:f>
        <x:v>86</x:v>
      </x:c>
      <x:c r="J199" s="24" t="n">
        <x:f>IF(I199&gt;240,1,0)</x:f>
        <x:v>0</x:v>
      </x:c>
      <x:c r="K199" s="24" t="n">
        <x:f>IF(AND(D199&lt;&gt;"",E199&lt;&gt;"",F199&lt;&gt;""),1,0)</x:f>
        <x:v>1</x:v>
      </x:c>
      <x:c r="L199" s="27" t="str">
        <x:v>Cadastro mínimo presente.</x:v>
      </x:c>
    </x:row>
    <x:row r="200">
      <x:c r="A200" s="18" t="str">
        <x:v>CT199</x:v>
      </x:c>
      <x:c r="B200" s="21" t="n">
        <x:v>46145.70416666667</x:v>
      </x:c>
      <x:c r="C200" s="18" t="str">
        <x:v>Telefone</x:v>
      </x:c>
      <x:c r="D200" s="18" t="str">
        <x:v>CL027</x:v>
      </x:c>
      <x:c r="E200" s="18" t="str">
        <x:v>Refrigeração</x:v>
      </x:c>
      <x:c r="F200" s="18" t="str">
        <x:v>Oeste</x:v>
      </x:c>
      <x:c r="G200" s="18" t="str">
        <x:v>Alta</x:v>
      </x:c>
      <x:c r="H200" s="21" t="n">
        <x:v>46145.808333333334</x:v>
      </x:c>
      <x:c r="I200" s="24" t="n">
        <x:f>ROUND((H200-B200)*1440,0)</x:f>
        <x:v>150</x:v>
      </x:c>
      <x:c r="J200" s="24" t="n">
        <x:f>IF(I200&gt;240,1,0)</x:f>
        <x:v>0</x:v>
      </x:c>
      <x:c r="K200" s="24" t="n">
        <x:f>IF(AND(D200&lt;&gt;"",E200&lt;&gt;"",F200&lt;&gt;""),1,0)</x:f>
        <x:v>1</x:v>
      </x:c>
      <x:c r="L200" s="27" t="str">
        <x:v>Cadastro mínimo presente.</x:v>
      </x:c>
    </x:row>
    <x:row r="201">
      <x:c r="A201" s="18" t="str">
        <x:v>CT200</x:v>
      </x:c>
      <x:c r="B201" s="21" t="n">
        <x:v>46146.71319444444</x:v>
      </x:c>
      <x:c r="C201" s="18" t="str">
        <x:v>Indicação</x:v>
      </x:c>
      <x:c r="D201" s="18" t="str">
        <x:v>CL028</x:v>
      </x:c>
      <x:c r="E201" s="18" t="str">
        <x:v>Hidráulica leve</x:v>
      </x:c>
      <x:c r="F201" s="18" t="str">
        <x:v>Centro</x:v>
      </x:c>
      <x:c r="G201" s="18" t="str">
        <x:v>Não informada</x:v>
      </x:c>
      <x:c r="H201" s="21" t="n">
        <x:v>46146.86875</x:v>
      </x:c>
      <x:c r="I201" s="24" t="n">
        <x:f>ROUND((H201-B201)*1440,0)</x:f>
        <x:v>224</x:v>
      </x:c>
      <x:c r="J201" s="24" t="n">
        <x:f>IF(I201&gt;240,1,0)</x:f>
        <x:v>0</x:v>
      </x:c>
      <x:c r="K201" s="24" t="n">
        <x:f>IF(AND(D201&lt;&gt;"",E201&lt;&gt;"",F201&lt;&gt;""),1,0)</x:f>
        <x:v>1</x:v>
      </x:c>
      <x:c r="L201" s="27" t="str">
        <x:v>Cadastro mínimo presente.</x:v>
      </x:c>
    </x:row>
    <x:row r="202">
      <x:c r="A202" s="18" t="str">
        <x:v>CT201</x:v>
      </x:c>
      <x:c r="B202" s="21" t="n">
        <x:v>46147.34722222222</x:v>
      </x:c>
      <x:c r="C202" s="18" t="str">
        <x:v>Formulário</x:v>
      </x:c>
      <x:c r="D202" s="18" t="str">
        <x:v>CL029</x:v>
      </x:c>
      <x:c r="E202" s="18" t="str">
        <x:v>Elétrica leve</x:v>
      </x:c>
      <x:c r="F202" s="18" t="str">
        <x:v>Norte</x:v>
      </x:c>
      <x:c r="G202" s="18" t="str">
        <x:v>Baixa</x:v>
      </x:c>
      <x:c r="H202" s="21" t="n">
        <x:v>46147.680555555555</x:v>
      </x:c>
      <x:c r="I202" s="24" t="n">
        <x:f>ROUND((H202-B202)*1440,0)</x:f>
        <x:v>480</x:v>
      </x:c>
      <x:c r="J202" s="24" t="n">
        <x:f>IF(I202&gt;240,1,0)</x:f>
        <x:v>1</x:v>
      </x:c>
      <x:c r="K202" s="24" t="n">
        <x:f>IF(AND(D202&lt;&gt;"",E202&lt;&gt;"",F202&lt;&gt;""),1,0)</x:f>
        <x:v>1</x:v>
      </x:c>
      <x:c r="L202" s="27" t="str">
        <x:v>Cadastro mínimo presente.</x:v>
      </x:c>
    </x:row>
    <x:row r="203">
      <x:c r="A203" s="18" t="str">
        <x:v>CT202</x:v>
      </x:c>
      <x:c r="B203" s="21" t="n">
        <x:v>46148.39791666667</x:v>
      </x:c>
      <x:c r="C203" s="18" t="str">
        <x:v>Mensageria</x:v>
      </x:c>
      <x:c r="D203" s="18" t="str">
        <x:v>CL030</x:v>
      </x:c>
      <x:c r="E203" s="18" t="str">
        <x:v>Climatização</x:v>
      </x:c>
      <x:c r="F203" s="18" t="str">
        <x:v>Sul</x:v>
      </x:c>
      <x:c r="G203" s="18" t="str">
        <x:v>Média</x:v>
      </x:c>
      <x:c r="H203" s="21" t="n">
        <x:v>46148.563888888886</x:v>
      </x:c>
      <x:c r="I203" s="24" t="n">
        <x:f>ROUND((H203-B203)*1440,0)</x:f>
        <x:v>239</x:v>
      </x:c>
      <x:c r="J203" s="24" t="n">
        <x:f>IF(I203&gt;240,1,0)</x:f>
        <x:v>0</x:v>
      </x:c>
      <x:c r="K203" s="24" t="n">
        <x:f>IF(AND(D203&lt;&gt;"",E203&lt;&gt;"",F203&lt;&gt;""),1,0)</x:f>
        <x:v>1</x:v>
      </x:c>
      <x:c r="L203" s="27" t="str">
        <x:v>Cadastro mínimo presente.</x:v>
      </x:c>
    </x:row>
    <x:row r="204">
      <x:c r="A204" s="18" t="str">
        <x:v>CT203</x:v>
      </x:c>
      <x:c r="B204" s="21" t="n">
        <x:v>46149.44861111111</x:v>
      </x:c>
      <x:c r="C204" s="18" t="str">
        <x:v>Telefone</x:v>
      </x:c>
      <x:c r="D204" s="18" t="str">
        <x:v>CL031</x:v>
      </x:c>
      <x:c r="E204" s="18" t="str">
        <x:v>Refrigeração</x:v>
      </x:c>
      <x:c r="F204" s="18" t="str">
        <x:v>Leste</x:v>
      </x:c>
      <x:c r="G204" s="18" t="str">
        <x:v>Alta</x:v>
      </x:c>
      <x:c r="H204" s="21" t="n">
        <x:v>46149.62708333333</x:v>
      </x:c>
      <x:c r="I204" s="24" t="n">
        <x:f>ROUND((H204-B204)*1440,0)</x:f>
        <x:v>257</x:v>
      </x:c>
      <x:c r="J204" s="24" t="n">
        <x:f>IF(I204&gt;240,1,0)</x:f>
        <x:v>1</x:v>
      </x:c>
      <x:c r="K204" s="24" t="n">
        <x:f>IF(AND(D204&lt;&gt;"",E204&lt;&gt;"",F204&lt;&gt;""),1,0)</x:f>
        <x:v>1</x:v>
      </x:c>
      <x:c r="L204" s="27" t="str">
        <x:v>Cadastro mínimo presente.</x:v>
      </x:c>
    </x:row>
    <x:row r="205">
      <x:c r="A205" s="18" t="str">
        <x:v>CT204</x:v>
      </x:c>
      <x:c r="B205" s="21" t="n">
        <x:v>46150.49930555555</x:v>
      </x:c>
      <x:c r="C205" s="18" t="str">
        <x:v>Indicação</x:v>
      </x:c>
      <x:c r="D205" s="18" t="str">
        <x:v>CL032</x:v>
      </x:c>
      <x:c r="E205" s="18" t="str">
        <x:v>Hidráulica leve</x:v>
      </x:c>
      <x:c r="F205" s="18" t="str">
        <x:v>Oeste</x:v>
      </x:c>
      <x:c r="G205" s="18" t="str">
        <x:v>Não informada</x:v>
      </x:c>
      <x:c r="H205" s="21" t="n">
        <x:v>46150.90625</x:v>
      </x:c>
      <x:c r="I205" s="24" t="n">
        <x:f>ROUND((H205-B205)*1440,0)</x:f>
        <x:v>586</x:v>
      </x:c>
      <x:c r="J205" s="24" t="n">
        <x:f>IF(I205&gt;240,1,0)</x:f>
        <x:v>1</x:v>
      </x:c>
      <x:c r="K205" s="24" t="n">
        <x:f>IF(AND(D205&lt;&gt;"",E205&lt;&gt;"",F205&lt;&gt;""),1,0)</x:f>
        <x:v>1</x:v>
      </x:c>
      <x:c r="L205" s="27" t="str">
        <x:v>Cadastro mínimo presente.</x:v>
      </x:c>
    </x:row>
    <x:row r="206">
      <x:c r="A206" s="18" t="str">
        <x:v>CT205</x:v>
      </x:c>
      <x:c r="B206" s="21" t="n">
        <x:v>46151.50833333333</x:v>
      </x:c>
      <x:c r="C206" s="18" t="str">
        <x:v>Formulário</x:v>
      </x:c>
      <x:c r="D206" s="18" t="str">
        <x:v>CL033</x:v>
      </x:c>
      <x:c r="E206" s="18" t="str">
        <x:v>Elétrica leve</x:v>
      </x:c>
      <x:c r="F206" s="18" t="str">
        <x:v>Centro</x:v>
      </x:c>
      <x:c r="G206" s="18" t="str">
        <x:v>Baixa</x:v>
      </x:c>
      <x:c r="H206" s="21" t="n">
        <x:v>46151.79583333333</x:v>
      </x:c>
      <x:c r="I206" s="24" t="n">
        <x:f>ROUND((H206-B206)*1440,0)</x:f>
        <x:v>414</x:v>
      </x:c>
      <x:c r="J206" s="24" t="n">
        <x:f>IF(I206&gt;240,1,0)</x:f>
        <x:v>1</x:v>
      </x:c>
      <x:c r="K206" s="24" t="n">
        <x:f>IF(AND(D206&lt;&gt;"",E206&lt;&gt;"",F206&lt;&gt;""),1,0)</x:f>
        <x:v>1</x:v>
      </x:c>
      <x:c r="L206" s="27" t="str">
        <x:v>Cadastro mínimo presente.</x:v>
      </x:c>
    </x:row>
    <x:row r="207">
      <x:c r="A207" s="18" t="str">
        <x:v>CT206</x:v>
      </x:c>
      <x:c r="B207" s="21" t="n">
        <x:v>46152.55902777778</x:v>
      </x:c>
      <x:c r="C207" s="18" t="str">
        <x:v>Mensageria</x:v>
      </x:c>
      <x:c r="D207" s="18" t="str">
        <x:v>CL034</x:v>
      </x:c>
      <x:c r="E207" s="18" t="str">
        <x:v>Climatização</x:v>
      </x:c>
      <x:c r="F207" s="18" t="str">
        <x:v>Norte</x:v>
      </x:c>
      <x:c r="G207" s="18" t="str">
        <x:v>Média</x:v>
      </x:c>
      <x:c r="H207" s="21" t="n">
        <x:v>46152.657638888886</x:v>
      </x:c>
      <x:c r="I207" s="24" t="n">
        <x:f>ROUND((H207-B207)*1440,0)</x:f>
        <x:v>142</x:v>
      </x:c>
      <x:c r="J207" s="24" t="n">
        <x:f>IF(I207&gt;240,1,0)</x:f>
        <x:v>0</x:v>
      </x:c>
      <x:c r="K207" s="24" t="n">
        <x:f>IF(AND(D207&lt;&gt;"",E207&lt;&gt;"",F207&lt;&gt;""),1,0)</x:f>
        <x:v>1</x:v>
      </x:c>
      <x:c r="L207" s="27" t="str">
        <x:v>Cadastro mínimo presente.</x:v>
      </x:c>
    </x:row>
    <x:row r="208">
      <x:c r="A208" s="18" t="str">
        <x:v>CT207</x:v>
      </x:c>
      <x:c r="B208" s="21" t="n">
        <x:v>46153.60972222222</x:v>
      </x:c>
      <x:c r="C208" s="18" t="str">
        <x:v>Telefone</x:v>
      </x:c>
      <x:c r="D208" s="18" t="str">
        <x:v>CL035</x:v>
      </x:c>
      <x:c r="E208" s="18" t="str">
        <x:v>Refrigeração</x:v>
      </x:c>
      <x:c r="F208" s="18" t="str">
        <x:v>Sul</x:v>
      </x:c>
      <x:c r="G208" s="18" t="str">
        <x:v>Alta</x:v>
      </x:c>
      <x:c r="H208" s="21" t="n">
        <x:v>46153.725694444445</x:v>
      </x:c>
      <x:c r="I208" s="24" t="n">
        <x:f>ROUND((H208-B208)*1440,0)</x:f>
        <x:v>167</x:v>
      </x:c>
      <x:c r="J208" s="24" t="n">
        <x:f>IF(I208&gt;240,1,0)</x:f>
        <x:v>0</x:v>
      </x:c>
      <x:c r="K208" s="24" t="n">
        <x:f>IF(AND(D208&lt;&gt;"",E208&lt;&gt;"",F208&lt;&gt;""),1,0)</x:f>
        <x:v>1</x:v>
      </x:c>
      <x:c r="L208" s="27" t="str">
        <x:v>Cadastro mínimo presente.</x:v>
      </x:c>
    </x:row>
    <x:row r="209">
      <x:c r="A209" s="18" t="str">
        <x:v>CT208</x:v>
      </x:c>
      <x:c r="B209" s="21" t="n">
        <x:v>46154.660416666666</x:v>
      </x:c>
      <x:c r="C209" s="18" t="str">
        <x:v>Indicação</x:v>
      </x:c>
      <x:c r="D209" s="18" t="str">
        <x:v>CL036</x:v>
      </x:c>
      <x:c r="E209" s="18" t="str">
        <x:v>Hidráulica leve</x:v>
      </x:c>
      <x:c r="F209" s="18" t="str">
        <x:v>Leste</x:v>
      </x:c>
      <x:c r="G209" s="18" t="str">
        <x:v>Não informada</x:v>
      </x:c>
      <x:c r="H209" s="21" t="n">
        <x:v>46154.955555555556</x:v>
      </x:c>
      <x:c r="I209" s="24" t="n">
        <x:f>ROUND((H209-B209)*1440,0)</x:f>
        <x:v>425</x:v>
      </x:c>
      <x:c r="J209" s="24" t="n">
        <x:f>IF(I209&gt;240,1,0)</x:f>
        <x:v>1</x:v>
      </x:c>
      <x:c r="K209" s="24" t="n">
        <x:f>IF(AND(D209&lt;&gt;"",E209&lt;&gt;"",F209&lt;&gt;""),1,0)</x:f>
        <x:v>1</x:v>
      </x:c>
      <x:c r="L209" s="27" t="str">
        <x:v>Cadastro mínimo presente.</x:v>
      </x:c>
    </x:row>
    <x:row r="210">
      <x:c r="A210" s="18" t="str">
        <x:v>CT209</x:v>
      </x:c>
      <x:c r="B210" s="21" t="n">
        <x:v>46155.669444444444</x:v>
      </x:c>
      <x:c r="C210" s="18" t="str">
        <x:v>Formulário</x:v>
      </x:c>
      <x:c r="D210" s="18" t="str">
        <x:v>CL037</x:v>
      </x:c>
      <x:c r="E210" s="18" t="str">
        <x:v>Elétrica leve</x:v>
      </x:c>
      <x:c r="F210" s="18" t="str">
        <x:v>Oeste</x:v>
      </x:c>
      <x:c r="G210" s="18" t="str">
        <x:v>Baixa</x:v>
      </x:c>
      <x:c r="H210" s="21" t="n">
        <x:v>46155.96597222222</x:v>
      </x:c>
      <x:c r="I210" s="24" t="n">
        <x:f>ROUND((H210-B210)*1440,0)</x:f>
        <x:v>427</x:v>
      </x:c>
      <x:c r="J210" s="24" t="n">
        <x:f>IF(I210&gt;240,1,0)</x:f>
        <x:v>1</x:v>
      </x:c>
      <x:c r="K210" s="24" t="n">
        <x:f>IF(AND(D210&lt;&gt;"",E210&lt;&gt;"",F210&lt;&gt;""),1,0)</x:f>
        <x:v>1</x:v>
      </x:c>
      <x:c r="L210" s="27" t="str">
        <x:v>Cadastro mínimo presente.</x:v>
      </x:c>
    </x:row>
    <x:row r="211">
      <x:c r="A211" s="18" t="str">
        <x:v>CT210</x:v>
      </x:c>
      <x:c r="B211" s="21" t="n">
        <x:v>46156.720138888886</x:v>
      </x:c>
      <x:c r="C211" s="18" t="str">
        <x:v>Mensageria</x:v>
      </x:c>
      <x:c r="D211" s="18" t="str">
        <x:v>CL038</x:v>
      </x:c>
      <x:c r="E211" s="18" t="str">
        <x:v>Climatização</x:v>
      </x:c>
      <x:c r="F211" s="18" t="str">
        <x:v>Centro</x:v>
      </x:c>
      <x:c r="G211" s="18" t="str">
        <x:v>Média</x:v>
      </x:c>
      <x:c r="H211" s="21" t="n">
        <x:v>46156.861805555556</x:v>
      </x:c>
      <x:c r="I211" s="24" t="n">
        <x:f>ROUND((H211-B211)*1440,0)</x:f>
        <x:v>204</x:v>
      </x:c>
      <x:c r="J211" s="24" t="n">
        <x:f>IF(I211&gt;240,1,0)</x:f>
        <x:v>0</x:v>
      </x:c>
      <x:c r="K211" s="24" t="n">
        <x:f>IF(AND(D211&lt;&gt;"",E211&lt;&gt;"",F211&lt;&gt;""),1,0)</x:f>
        <x:v>1</x:v>
      </x:c>
      <x:c r="L211" s="27" t="str">
        <x:v>Cadastro mínimo presente.</x:v>
      </x:c>
    </x:row>
    <x:row r="212">
      <x:c r="A212" s="18" t="str">
        <x:v>CT211</x:v>
      </x:c>
      <x:c r="B212" s="21" t="n">
        <x:v>46157.354166666664</x:v>
      </x:c>
      <x:c r="C212" s="18" t="str">
        <x:v>Telefone</x:v>
      </x:c>
      <x:c r="D212" s="18" t="str">
        <x:v>CL039</x:v>
      </x:c>
      <x:c r="E212" s="18" t="str">
        <x:v>Refrigeração</x:v>
      </x:c>
      <x:c r="F212" s="18" t="str">
        <x:v>Norte</x:v>
      </x:c>
      <x:c r="G212" s="18" t="str">
        <x:v>Alta</x:v>
      </x:c>
      <x:c r="H212" s="21" t="n">
        <x:v>46157.48819444444</x:v>
      </x:c>
      <x:c r="I212" s="24" t="n">
        <x:f>ROUND((H212-B212)*1440,0)</x:f>
        <x:v>193</x:v>
      </x:c>
      <x:c r="J212" s="24" t="n">
        <x:f>IF(I212&gt;240,1,0)</x:f>
        <x:v>0</x:v>
      </x:c>
      <x:c r="K212" s="24" t="n">
        <x:f>IF(AND(D212&lt;&gt;"",E212&lt;&gt;"",F212&lt;&gt;""),1,0)</x:f>
        <x:v>1</x:v>
      </x:c>
      <x:c r="L212" s="27" t="str">
        <x:v>Cadastro mínimo presente.</x:v>
      </x:c>
    </x:row>
    <x:row r="213">
      <x:c r="A213" s="18" t="str">
        <x:v>CT212</x:v>
      </x:c>
      <x:c r="B213" s="21" t="n">
        <x:v>46158.404861111114</x:v>
      </x:c>
      <x:c r="C213" s="18" t="str">
        <x:v>Indicação</x:v>
      </x:c>
      <x:c r="D213" s="18" t="str">
        <x:v>CL040</x:v>
      </x:c>
      <x:c r="E213" s="18" t="str">
        <x:v>Hidráulica leve</x:v>
      </x:c>
      <x:c r="F213" s="18" t="str">
        <x:v>Sul</x:v>
      </x:c>
      <x:c r="G213" s="18" t="str">
        <x:v>Não informada</x:v>
      </x:c>
      <x:c r="H213" s="21" t="n">
        <x:v>46158.51527777778</x:v>
      </x:c>
      <x:c r="I213" s="24" t="n">
        <x:f>ROUND((H213-B213)*1440,0)</x:f>
        <x:v>159</x:v>
      </x:c>
      <x:c r="J213" s="24" t="n">
        <x:f>IF(I213&gt;240,1,0)</x:f>
        <x:v>0</x:v>
      </x:c>
      <x:c r="K213" s="24" t="n">
        <x:f>IF(AND(D213&lt;&gt;"",E213&lt;&gt;"",F213&lt;&gt;""),1,0)</x:f>
        <x:v>1</x:v>
      </x:c>
      <x:c r="L213" s="27" t="str">
        <x:v>Cadastro mínimo presente.</x:v>
      </x:c>
    </x:row>
    <x:row r="214">
      <x:c r="A214" s="18" t="str">
        <x:v>CT213</x:v>
      </x:c>
      <x:c r="B214" s="21" t="n">
        <x:v>46159.455555555556</x:v>
      </x:c>
      <x:c r="C214" s="18" t="str">
        <x:v>Formulário</x:v>
      </x:c>
      <x:c r="D214" s="18" t="str">
        <x:v>CL041</x:v>
      </x:c>
      <x:c r="E214" s="18" t="str">
        <x:v>Elétrica leve</x:v>
      </x:c>
      <x:c r="F214" s="18" t="str">
        <x:v>Leste</x:v>
      </x:c>
      <x:c r="G214" s="18" t="str">
        <x:v>Baixa</x:v>
      </x:c>
      <x:c r="H214" s="21" t="n">
        <x:v>46159.583333333336</x:v>
      </x:c>
      <x:c r="I214" s="24" t="n">
        <x:f>ROUND((H214-B214)*1440,0)</x:f>
        <x:v>184</x:v>
      </x:c>
      <x:c r="J214" s="24" t="n">
        <x:f>IF(I214&gt;240,1,0)</x:f>
        <x:v>0</x:v>
      </x:c>
      <x:c r="K214" s="24" t="n">
        <x:f>IF(AND(D214&lt;&gt;"",E214&lt;&gt;"",F214&lt;&gt;""),1,0)</x:f>
        <x:v>1</x:v>
      </x:c>
      <x:c r="L214" s="27" t="str">
        <x:v>Cadastro mínimo presente.</x:v>
      </x:c>
    </x:row>
    <x:row r="215">
      <x:c r="A215" s="19" t="str">
        <x:v>CT214</x:v>
      </x:c>
      <x:c r="B215" s="22" t="n">
        <x:v>46160.464583333334</x:v>
      </x:c>
      <x:c r="C215" s="19" t="str">
        <x:v>Mensageria</x:v>
      </x:c>
      <x:c r="D215" s="19" t="str">
        <x:v>CL042</x:v>
      </x:c>
      <x:c r="E215" s="19" t="str">
        <x:v>Climatização</x:v>
      </x:c>
      <x:c r="F215" s="19" t="str">
        <x:v>Oeste</x:v>
      </x:c>
      <x:c r="G215" s="19" t="str">
        <x:v>Média</x:v>
      </x:c>
      <x:c r="H215" s="22" t="n">
        <x:v>46160.600694444445</x:v>
      </x:c>
      <x:c r="I215" s="25" t="n">
        <x:f>ROUND((H215-B215)*1440,0)</x:f>
        <x:v>196</x:v>
      </x:c>
      <x:c r="J215" s="25" t="n">
        <x:f>IF(I215&gt;240,1,0)</x:f>
        <x:v>0</x:v>
      </x:c>
      <x:c r="K215" s="25" t="n">
        <x:f>IF(AND(D215&lt;&gt;"",E215&lt;&gt;"",F215&lt;&gt;""),1,0)</x:f>
        <x:v>1</x:v>
      </x:c>
      <x:c r="L215" s="28" t="str">
        <x:v>Cadastro mínimo presente.</x:v>
      </x:c>
    </x:row>
  </x:sheetData>
  <x:pageMargins left="0.7" right="0.7" top="0.75" bottom="0.75" header="0.3" footer="0.3"/>
  <x:tableParts count="1">
    <x:tablePart xmlns:r="http://schemas.openxmlformats.org/officeDocument/2006/relationships" r:id="R017c90abb31b40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1" hidden="0" customWidth="1"/>
    <x:col min="4" max="4" width="20" hidden="0" customWidth="1"/>
    <x:col min="5" max="5" width="19" hidden="0" customWidth="1"/>
    <x:col min="6" max="6" width="21" hidden="0" customWidth="1"/>
    <x:col min="7" max="7" width="23" hidden="0" customWidth="1"/>
    <x:col min="8" max="8" width="22" hidden="0" customWidth="1"/>
    <x:col min="9" max="9" width="25" hidden="0" customWidth="1"/>
    <x:col min="10" max="10" width="15" hidden="0" customWidth="1"/>
    <x:col min="11" max="11" width="22" hidden="0" customWidth="1"/>
    <x:col min="12" max="12" width="50" hidden="0" customWidth="1"/>
  </x:cols>
  <x:sheetData>
    <x:row r="1" ht="34" customHeight="1">
      <x:c r="A1" s="9" t="str">
        <x:v>proposta_id</x:v>
      </x:c>
      <x:c r="B1" s="10" t="str">
        <x:v>contato_id</x:v>
      </x:c>
      <x:c r="C1" s="10" t="str">
        <x:v>criada_em</x:v>
      </x:c>
      <x:c r="D1" s="10" t="str">
        <x:v>servico</x:v>
      </x:c>
      <x:c r="E1" s="10" t="str">
        <x:v>tempo_preparo_min</x:v>
      </x:c>
      <x:c r="F1" s="10" t="str">
        <x:v>enviada_em</x:v>
      </x:c>
      <x:c r="G1" s="10" t="str">
        <x:v>dias_em_aberto_no_corte</x:v>
      </x:c>
      <x:c r="H1" s="10" t="str">
        <x:v>ultimo_follow_up_em</x:v>
      </x:c>
      <x:c r="I1" s="10" t="str">
        <x:v>sem_follow_up_apos_5_dias</x:v>
      </x:c>
      <x:c r="J1" s="10" t="str">
        <x:v>status</x:v>
      </x:c>
      <x:c r="K1" s="10" t="str">
        <x:v>revisada_por_humano</x:v>
      </x:c>
      <x:c r="L1" s="11" t="str">
        <x:v>observacao_sintetica</x:v>
      </x:c>
    </x:row>
    <x:row r="2">
      <x:c r="A2" s="17" t="str">
        <x:v>PR001</x:v>
      </x:c>
      <x:c r="B2" s="17" t="str">
        <x:v>CT001</x:v>
      </x:c>
      <x:c r="C2" s="20" t="n">
        <x:v>46143.416666666664</x:v>
      </x:c>
      <x:c r="D2" s="17" t="str">
        <x:v>Elétrica leve</x:v>
      </x:c>
      <x:c r="E2" s="44" t="n">
        <x:v>9</x:v>
      </x:c>
      <x:c r="F2" s="38" t="n">
        <x:v>46144.416666666664</x:v>
      </x:c>
      <x:c r="G2" s="44" t="n">
        <x:f>MAX(0,INT(DATE(2026,5,31)-C2))</x:f>
        <x:v>29</x:v>
      </x:c>
      <x:c r="H2" s="38"/>
      <x:c r="I2" s="47" t="n">
        <x:f>IF(AND(G2&gt;=5,H2=""),1,0)</x:f>
        <x:v>1</x:v>
      </x:c>
      <x:c r="J2" s="23" t="str">
        <x:v>Aberta</x:v>
      </x:c>
      <x:c r="K2" s="39" t="b">
        <x:v>1</x:v>
      </x:c>
      <x:c r="L2" s="26" t="str">
        <x:v>Rascunho sintético conferido antes de qualquer envio.</x:v>
      </x:c>
    </x:row>
    <x:row r="3">
      <x:c r="A3" s="18" t="str">
        <x:v>PR002</x:v>
      </x:c>
      <x:c r="B3" s="18" t="str">
        <x:v>CT002</x:v>
      </x:c>
      <x:c r="C3" s="21" t="n">
        <x:v>46144.458333333336</x:v>
      </x:c>
      <x:c r="D3" s="18" t="str">
        <x:v>Climatização</x:v>
      </x:c>
      <x:c r="E3" s="45" t="n">
        <x:v>10</x:v>
      </x:c>
      <x:c r="F3" s="40" t="n">
        <x:v>46145.458333333336</x:v>
      </x:c>
      <x:c r="G3" s="45" t="n">
        <x:f>MAX(0,INT(DATE(2026,5,31)-C3))</x:f>
        <x:v>28</x:v>
      </x:c>
      <x:c r="H3" s="40"/>
      <x:c r="I3" s="48" t="n">
        <x:f>IF(AND(G3&gt;=5,H3=""),1,0)</x:f>
        <x:v>1</x:v>
      </x:c>
      <x:c r="J3" s="24" t="str">
        <x:v>Aberta</x:v>
      </x:c>
      <x:c r="K3" s="41" t="b">
        <x:v>1</x:v>
      </x:c>
      <x:c r="L3" s="27" t="str">
        <x:v>Rascunho sintético conferido antes de qualquer envio.</x:v>
      </x:c>
    </x:row>
    <x:row r="4">
      <x:c r="A4" s="18" t="str">
        <x:v>PR003</x:v>
      </x:c>
      <x:c r="B4" s="18" t="str">
        <x:v>CT003</x:v>
      </x:c>
      <x:c r="C4" s="21" t="n">
        <x:v>46145.5</x:v>
      </x:c>
      <x:c r="D4" s="18" t="str">
        <x:v>Refrigeração</x:v>
      </x:c>
      <x:c r="E4" s="45" t="n">
        <x:v>11</x:v>
      </x:c>
      <x:c r="F4" s="40" t="n">
        <x:v>46146.5</x:v>
      </x:c>
      <x:c r="G4" s="45" t="n">
        <x:f>MAX(0,INT(DATE(2026,5,31)-C4))</x:f>
        <x:v>27</x:v>
      </x:c>
      <x:c r="H4" s="40"/>
      <x:c r="I4" s="48" t="n">
        <x:f>IF(AND(G4&gt;=5,H4=""),1,0)</x:f>
        <x:v>1</x:v>
      </x:c>
      <x:c r="J4" s="24" t="str">
        <x:v>Aberta</x:v>
      </x:c>
      <x:c r="K4" s="41" t="b">
        <x:v>1</x:v>
      </x:c>
      <x:c r="L4" s="27" t="str">
        <x:v>Rascunho sintético conferido antes de qualquer envio.</x:v>
      </x:c>
    </x:row>
    <x:row r="5">
      <x:c r="A5" s="18" t="str">
        <x:v>PR004</x:v>
      </x:c>
      <x:c r="B5" s="18" t="str">
        <x:v>CT004</x:v>
      </x:c>
      <x:c r="C5" s="21" t="n">
        <x:v>46146.541666666664</x:v>
      </x:c>
      <x:c r="D5" s="18" t="str">
        <x:v>Hidráulica leve</x:v>
      </x:c>
      <x:c r="E5" s="45" t="n">
        <x:v>12</x:v>
      </x:c>
      <x:c r="F5" s="40" t="n">
        <x:v>46147.541666666664</x:v>
      </x:c>
      <x:c r="G5" s="45" t="n">
        <x:f>MAX(0,INT(DATE(2026,5,31)-C5))</x:f>
        <x:v>26</x:v>
      </x:c>
      <x:c r="H5" s="40"/>
      <x:c r="I5" s="48" t="n">
        <x:f>IF(AND(G5&gt;=5,H5=""),1,0)</x:f>
        <x:v>1</x:v>
      </x:c>
      <x:c r="J5" s="24" t="str">
        <x:v>Aberta</x:v>
      </x:c>
      <x:c r="K5" s="41" t="b">
        <x:v>1</x:v>
      </x:c>
      <x:c r="L5" s="27" t="str">
        <x:v>Rascunho sintético conferido antes de qualquer envio.</x:v>
      </x:c>
    </x:row>
    <x:row r="6">
      <x:c r="A6" s="18" t="str">
        <x:v>PR005</x:v>
      </x:c>
      <x:c r="B6" s="18" t="str">
        <x:v>CT005</x:v>
      </x:c>
      <x:c r="C6" s="21" t="n">
        <x:v>46147.583333333336</x:v>
      </x:c>
      <x:c r="D6" s="18" t="str">
        <x:v>Elétrica leve</x:v>
      </x:c>
      <x:c r="E6" s="45" t="n">
        <x:v>13</x:v>
      </x:c>
      <x:c r="F6" s="40" t="n">
        <x:v>46148.583333333336</x:v>
      </x:c>
      <x:c r="G6" s="45" t="n">
        <x:f>MAX(0,INT(DATE(2026,5,31)-C6))</x:f>
        <x:v>25</x:v>
      </x:c>
      <x:c r="H6" s="40"/>
      <x:c r="I6" s="48" t="n">
        <x:f>IF(AND(G6&gt;=5,H6=""),1,0)</x:f>
        <x:v>1</x:v>
      </x:c>
      <x:c r="J6" s="24" t="str">
        <x:v>Aberta</x:v>
      </x:c>
      <x:c r="K6" s="41" t="b">
        <x:v>1</x:v>
      </x:c>
      <x:c r="L6" s="27" t="str">
        <x:v>Rascunho sintético conferido antes de qualquer envio.</x:v>
      </x:c>
    </x:row>
    <x:row r="7">
      <x:c r="A7" s="18" t="str">
        <x:v>PR006</x:v>
      </x:c>
      <x:c r="B7" s="18" t="str">
        <x:v>CT006</x:v>
      </x:c>
      <x:c r="C7" s="21" t="n">
        <x:v>46148.625</x:v>
      </x:c>
      <x:c r="D7" s="18" t="str">
        <x:v>Climatização</x:v>
      </x:c>
      <x:c r="E7" s="45" t="n">
        <x:v>14</x:v>
      </x:c>
      <x:c r="F7" s="40" t="n">
        <x:v>46149.625</x:v>
      </x:c>
      <x:c r="G7" s="45" t="n">
        <x:f>MAX(0,INT(DATE(2026,5,31)-C7))</x:f>
        <x:v>24</x:v>
      </x:c>
      <x:c r="H7" s="40"/>
      <x:c r="I7" s="48" t="n">
        <x:f>IF(AND(G7&gt;=5,H7=""),1,0)</x:f>
        <x:v>1</x:v>
      </x:c>
      <x:c r="J7" s="24" t="str">
        <x:v>Aberta</x:v>
      </x:c>
      <x:c r="K7" s="41" t="b">
        <x:v>1</x:v>
      </x:c>
      <x:c r="L7" s="27" t="str">
        <x:v>Rascunho sintético conferido antes de qualquer envio.</x:v>
      </x:c>
    </x:row>
    <x:row r="8">
      <x:c r="A8" s="18" t="str">
        <x:v>PR007</x:v>
      </x:c>
      <x:c r="B8" s="18" t="str">
        <x:v>CT007</x:v>
      </x:c>
      <x:c r="C8" s="21" t="n">
        <x:v>46149.416666666664</x:v>
      </x:c>
      <x:c r="D8" s="18" t="str">
        <x:v>Refrigeração</x:v>
      </x:c>
      <x:c r="E8" s="45" t="n">
        <x:v>15</x:v>
      </x:c>
      <x:c r="F8" s="40" t="n">
        <x:v>46150.416666666664</x:v>
      </x:c>
      <x:c r="G8" s="45" t="n">
        <x:f>MAX(0,INT(DATE(2026,5,31)-C8))</x:f>
        <x:v>23</x:v>
      </x:c>
      <x:c r="H8" s="40"/>
      <x:c r="I8" s="48" t="n">
        <x:f>IF(AND(G8&gt;=5,H8=""),1,0)</x:f>
        <x:v>1</x:v>
      </x:c>
      <x:c r="J8" s="24" t="str">
        <x:v>Aberta</x:v>
      </x:c>
      <x:c r="K8" s="41" t="b">
        <x:v>1</x:v>
      </x:c>
      <x:c r="L8" s="27" t="str">
        <x:v>Rascunho sintético conferido antes de qualquer envio.</x:v>
      </x:c>
    </x:row>
    <x:row r="9">
      <x:c r="A9" s="18" t="str">
        <x:v>PR008</x:v>
      </x:c>
      <x:c r="B9" s="18" t="str">
        <x:v>CT008</x:v>
      </x:c>
      <x:c r="C9" s="21" t="n">
        <x:v>46150.458333333336</x:v>
      </x:c>
      <x:c r="D9" s="18" t="str">
        <x:v>Hidráulica leve</x:v>
      </x:c>
      <x:c r="E9" s="45" t="n">
        <x:v>9</x:v>
      </x:c>
      <x:c r="F9" s="40" t="n">
        <x:v>46151.458333333336</x:v>
      </x:c>
      <x:c r="G9" s="45" t="n">
        <x:f>MAX(0,INT(DATE(2026,5,31)-C9))</x:f>
        <x:v>22</x:v>
      </x:c>
      <x:c r="H9" s="40"/>
      <x:c r="I9" s="48" t="n">
        <x:f>IF(AND(G9&gt;=5,H9=""),1,0)</x:f>
        <x:v>1</x:v>
      </x:c>
      <x:c r="J9" s="24" t="str">
        <x:v>Aberta</x:v>
      </x:c>
      <x:c r="K9" s="41" t="b">
        <x:v>1</x:v>
      </x:c>
      <x:c r="L9" s="27" t="str">
        <x:v>Rascunho sintético conferido antes de qualquer envio.</x:v>
      </x:c>
    </x:row>
    <x:row r="10">
      <x:c r="A10" s="18" t="str">
        <x:v>PR009</x:v>
      </x:c>
      <x:c r="B10" s="18" t="str">
        <x:v>CT009</x:v>
      </x:c>
      <x:c r="C10" s="21" t="n">
        <x:v>46151.5</x:v>
      </x:c>
      <x:c r="D10" s="18" t="str">
        <x:v>Elétrica leve</x:v>
      </x:c>
      <x:c r="E10" s="45" t="n">
        <x:v>10</x:v>
      </x:c>
      <x:c r="F10" s="40" t="n">
        <x:v>46152.5</x:v>
      </x:c>
      <x:c r="G10" s="45" t="n">
        <x:f>MAX(0,INT(DATE(2026,5,31)-C10))</x:f>
        <x:v>21</x:v>
      </x:c>
      <x:c r="H10" s="40"/>
      <x:c r="I10" s="48" t="n">
        <x:f>IF(AND(G10&gt;=5,H10=""),1,0)</x:f>
        <x:v>1</x:v>
      </x:c>
      <x:c r="J10" s="24" t="str">
        <x:v>Aberta</x:v>
      </x:c>
      <x:c r="K10" s="41" t="b">
        <x:v>1</x:v>
      </x:c>
      <x:c r="L10" s="27" t="str">
        <x:v>Rascunho sintético conferido antes de qualquer envio.</x:v>
      </x:c>
    </x:row>
    <x:row r="11">
      <x:c r="A11" s="18" t="str">
        <x:v>PR010</x:v>
      </x:c>
      <x:c r="B11" s="18" t="str">
        <x:v>CT010</x:v>
      </x:c>
      <x:c r="C11" s="21" t="n">
        <x:v>46152.541666666664</x:v>
      </x:c>
      <x:c r="D11" s="18" t="str">
        <x:v>Climatização</x:v>
      </x:c>
      <x:c r="E11" s="45" t="n">
        <x:v>11</x:v>
      </x:c>
      <x:c r="F11" s="40" t="n">
        <x:v>46153.541666666664</x:v>
      </x:c>
      <x:c r="G11" s="45" t="n">
        <x:f>MAX(0,INT(DATE(2026,5,31)-C11))</x:f>
        <x:v>20</x:v>
      </x:c>
      <x:c r="H11" s="40"/>
      <x:c r="I11" s="48" t="n">
        <x:f>IF(AND(G11&gt;=5,H11=""),1,0)</x:f>
        <x:v>1</x:v>
      </x:c>
      <x:c r="J11" s="24" t="str">
        <x:v>Aberta</x:v>
      </x:c>
      <x:c r="K11" s="41" t="b">
        <x:v>1</x:v>
      </x:c>
      <x:c r="L11" s="27" t="str">
        <x:v>Rascunho sintético conferido antes de qualquer envio.</x:v>
      </x:c>
    </x:row>
    <x:row r="12">
      <x:c r="A12" s="18" t="str">
        <x:v>PR011</x:v>
      </x:c>
      <x:c r="B12" s="18" t="str">
        <x:v>CT011</x:v>
      </x:c>
      <x:c r="C12" s="21" t="n">
        <x:v>46153.583333333336</x:v>
      </x:c>
      <x:c r="D12" s="18" t="str">
        <x:v>Refrigeração</x:v>
      </x:c>
      <x:c r="E12" s="45" t="n">
        <x:v>12</x:v>
      </x:c>
      <x:c r="F12" s="40" t="n">
        <x:v>46154.583333333336</x:v>
      </x:c>
      <x:c r="G12" s="45" t="n">
        <x:f>MAX(0,INT(DATE(2026,5,31)-C12))</x:f>
        <x:v>19</x:v>
      </x:c>
      <x:c r="H12" s="40"/>
      <x:c r="I12" s="48" t="n">
        <x:f>IF(AND(G12&gt;=5,H12=""),1,0)</x:f>
        <x:v>1</x:v>
      </x:c>
      <x:c r="J12" s="24" t="str">
        <x:v>Aberta</x:v>
      </x:c>
      <x:c r="K12" s="41" t="b">
        <x:v>1</x:v>
      </x:c>
      <x:c r="L12" s="27" t="str">
        <x:v>Rascunho sintético conferido antes de qualquer envio.</x:v>
      </x:c>
    </x:row>
    <x:row r="13">
      <x:c r="A13" s="18" t="str">
        <x:v>PR012</x:v>
      </x:c>
      <x:c r="B13" s="18" t="str">
        <x:v>CT012</x:v>
      </x:c>
      <x:c r="C13" s="21" t="n">
        <x:v>46154.625</x:v>
      </x:c>
      <x:c r="D13" s="18" t="str">
        <x:v>Hidráulica leve</x:v>
      </x:c>
      <x:c r="E13" s="45" t="n">
        <x:v>13</x:v>
      </x:c>
      <x:c r="F13" s="40" t="n">
        <x:v>46155.625</x:v>
      </x:c>
      <x:c r="G13" s="45" t="n">
        <x:f>MAX(0,INT(DATE(2026,5,31)-C13))</x:f>
        <x:v>18</x:v>
      </x:c>
      <x:c r="H13" s="40"/>
      <x:c r="I13" s="48" t="n">
        <x:f>IF(AND(G13&gt;=5,H13=""),1,0)</x:f>
        <x:v>1</x:v>
      </x:c>
      <x:c r="J13" s="24" t="str">
        <x:v>Aberta</x:v>
      </x:c>
      <x:c r="K13" s="41" t="b">
        <x:v>1</x:v>
      </x:c>
      <x:c r="L13" s="27" t="str">
        <x:v>Rascunho sintético conferido antes de qualquer envio.</x:v>
      </x:c>
    </x:row>
    <x:row r="14">
      <x:c r="A14" s="18" t="str">
        <x:v>PR013</x:v>
      </x:c>
      <x:c r="B14" s="18" t="str">
        <x:v>CT013</x:v>
      </x:c>
      <x:c r="C14" s="21" t="n">
        <x:v>46155.416666666664</x:v>
      </x:c>
      <x:c r="D14" s="18" t="str">
        <x:v>Elétrica leve</x:v>
      </x:c>
      <x:c r="E14" s="45" t="n">
        <x:v>14</x:v>
      </x:c>
      <x:c r="F14" s="40" t="n">
        <x:v>46156.416666666664</x:v>
      </x:c>
      <x:c r="G14" s="45" t="n">
        <x:f>MAX(0,INT(DATE(2026,5,31)-C14))</x:f>
        <x:v>17</x:v>
      </x:c>
      <x:c r="H14" s="40"/>
      <x:c r="I14" s="48" t="n">
        <x:f>IF(AND(G14&gt;=5,H14=""),1,0)</x:f>
        <x:v>1</x:v>
      </x:c>
      <x:c r="J14" s="24" t="str">
        <x:v>Aberta</x:v>
      </x:c>
      <x:c r="K14" s="41" t="b">
        <x:v>1</x:v>
      </x:c>
      <x:c r="L14" s="27" t="str">
        <x:v>Rascunho sintético conferido antes de qualquer envio.</x:v>
      </x:c>
    </x:row>
    <x:row r="15">
      <x:c r="A15" s="18" t="str">
        <x:v>PR014</x:v>
      </x:c>
      <x:c r="B15" s="18" t="str">
        <x:v>CT014</x:v>
      </x:c>
      <x:c r="C15" s="21" t="n">
        <x:v>46156.458333333336</x:v>
      </x:c>
      <x:c r="D15" s="18" t="str">
        <x:v>Climatização</x:v>
      </x:c>
      <x:c r="E15" s="45" t="n">
        <x:v>15</x:v>
      </x:c>
      <x:c r="F15" s="40" t="n">
        <x:v>46157.458333333336</x:v>
      </x:c>
      <x:c r="G15" s="45" t="n">
        <x:f>MAX(0,INT(DATE(2026,5,31)-C15))</x:f>
        <x:v>16</x:v>
      </x:c>
      <x:c r="H15" s="40"/>
      <x:c r="I15" s="48" t="n">
        <x:f>IF(AND(G15&gt;=5,H15=""),1,0)</x:f>
        <x:v>1</x:v>
      </x:c>
      <x:c r="J15" s="24" t="str">
        <x:v>Aberta</x:v>
      </x:c>
      <x:c r="K15" s="41" t="b">
        <x:v>1</x:v>
      </x:c>
      <x:c r="L15" s="27" t="str">
        <x:v>Rascunho sintético conferido antes de qualquer envio.</x:v>
      </x:c>
    </x:row>
    <x:row r="16">
      <x:c r="A16" s="18" t="str">
        <x:v>PR015</x:v>
      </x:c>
      <x:c r="B16" s="18" t="str">
        <x:v>CT015</x:v>
      </x:c>
      <x:c r="C16" s="21" t="n">
        <x:v>46157.5</x:v>
      </x:c>
      <x:c r="D16" s="18" t="str">
        <x:v>Refrigeração</x:v>
      </x:c>
      <x:c r="E16" s="45" t="n">
        <x:v>9</x:v>
      </x:c>
      <x:c r="F16" s="40" t="n">
        <x:v>46158.5</x:v>
      </x:c>
      <x:c r="G16" s="45" t="n">
        <x:f>MAX(0,INT(DATE(2026,5,31)-C16))</x:f>
        <x:v>15</x:v>
      </x:c>
      <x:c r="H16" s="40"/>
      <x:c r="I16" s="48" t="n">
        <x:f>IF(AND(G16&gt;=5,H16=""),1,0)</x:f>
        <x:v>1</x:v>
      </x:c>
      <x:c r="J16" s="24" t="str">
        <x:v>Aberta</x:v>
      </x:c>
      <x:c r="K16" s="41" t="b">
        <x:v>1</x:v>
      </x:c>
      <x:c r="L16" s="27" t="str">
        <x:v>Rascunho sintético conferido antes de qualquer envio.</x:v>
      </x:c>
    </x:row>
    <x:row r="17">
      <x:c r="A17" s="18" t="str">
        <x:v>PR016</x:v>
      </x:c>
      <x:c r="B17" s="18" t="str">
        <x:v>CT016</x:v>
      </x:c>
      <x:c r="C17" s="21" t="n">
        <x:v>46158.541666666664</x:v>
      </x:c>
      <x:c r="D17" s="18" t="str">
        <x:v>Hidráulica leve</x:v>
      </x:c>
      <x:c r="E17" s="45" t="n">
        <x:v>10</x:v>
      </x:c>
      <x:c r="F17" s="40" t="n">
        <x:v>46159.541666666664</x:v>
      </x:c>
      <x:c r="G17" s="45" t="n">
        <x:f>MAX(0,INT(DATE(2026,5,31)-C17))</x:f>
        <x:v>14</x:v>
      </x:c>
      <x:c r="H17" s="40"/>
      <x:c r="I17" s="48" t="n">
        <x:f>IF(AND(G17&gt;=5,H17=""),1,0)</x:f>
        <x:v>1</x:v>
      </x:c>
      <x:c r="J17" s="24" t="str">
        <x:v>Aberta</x:v>
      </x:c>
      <x:c r="K17" s="41" t="b">
        <x:v>1</x:v>
      </x:c>
      <x:c r="L17" s="27" t="str">
        <x:v>Rascunho sintético conferido antes de qualquer envio.</x:v>
      </x:c>
    </x:row>
    <x:row r="18">
      <x:c r="A18" s="18" t="str">
        <x:v>PR017</x:v>
      </x:c>
      <x:c r="B18" s="18" t="str">
        <x:v>CT017</x:v>
      </x:c>
      <x:c r="C18" s="21" t="n">
        <x:v>46159.583333333336</x:v>
      </x:c>
      <x:c r="D18" s="18" t="str">
        <x:v>Elétrica leve</x:v>
      </x:c>
      <x:c r="E18" s="45" t="n">
        <x:v>11</x:v>
      </x:c>
      <x:c r="F18" s="40" t="n">
        <x:v>46160.583333333336</x:v>
      </x:c>
      <x:c r="G18" s="45" t="n">
        <x:f>MAX(0,INT(DATE(2026,5,31)-C18))</x:f>
        <x:v>13</x:v>
      </x:c>
      <x:c r="H18" s="40"/>
      <x:c r="I18" s="48" t="n">
        <x:f>IF(AND(G18&gt;=5,H18=""),1,0)</x:f>
        <x:v>1</x:v>
      </x:c>
      <x:c r="J18" s="24" t="str">
        <x:v>Aberta</x:v>
      </x:c>
      <x:c r="K18" s="41" t="b">
        <x:v>1</x:v>
      </x:c>
      <x:c r="L18" s="27" t="str">
        <x:v>Rascunho sintético conferido antes de qualquer envio.</x:v>
      </x:c>
    </x:row>
    <x:row r="19">
      <x:c r="A19" s="18" t="str">
        <x:v>PR018</x:v>
      </x:c>
      <x:c r="B19" s="18" t="str">
        <x:v>CT018</x:v>
      </x:c>
      <x:c r="C19" s="21" t="n">
        <x:v>46160.625</x:v>
      </x:c>
      <x:c r="D19" s="18" t="str">
        <x:v>Climatização</x:v>
      </x:c>
      <x:c r="E19" s="45" t="n">
        <x:v>12</x:v>
      </x:c>
      <x:c r="F19" s="40" t="n">
        <x:v>46161.625</x:v>
      </x:c>
      <x:c r="G19" s="45" t="n">
        <x:f>MAX(0,INT(DATE(2026,5,31)-C19))</x:f>
        <x:v>12</x:v>
      </x:c>
      <x:c r="H19" s="40"/>
      <x:c r="I19" s="48" t="n">
        <x:f>IF(AND(G19&gt;=5,H19=""),1,0)</x:f>
        <x:v>1</x:v>
      </x:c>
      <x:c r="J19" s="24" t="str">
        <x:v>Aberta</x:v>
      </x:c>
      <x:c r="K19" s="41" t="b">
        <x:v>1</x:v>
      </x:c>
      <x:c r="L19" s="27" t="str">
        <x:v>Rascunho sintético conferido antes de qualquer envio.</x:v>
      </x:c>
    </x:row>
    <x:row r="20">
      <x:c r="A20" s="18" t="str">
        <x:v>PR019</x:v>
      </x:c>
      <x:c r="B20" s="18" t="str">
        <x:v>CT019</x:v>
      </x:c>
      <x:c r="C20" s="21" t="n">
        <x:v>46161.416666666664</x:v>
      </x:c>
      <x:c r="D20" s="18" t="str">
        <x:v>Refrigeração</x:v>
      </x:c>
      <x:c r="E20" s="45" t="n">
        <x:v>13</x:v>
      </x:c>
      <x:c r="F20" s="40" t="n">
        <x:v>46162.416666666664</x:v>
      </x:c>
      <x:c r="G20" s="45" t="n">
        <x:f>MAX(0,INT(DATE(2026,5,31)-C20))</x:f>
        <x:v>11</x:v>
      </x:c>
      <x:c r="H20" s="40"/>
      <x:c r="I20" s="48" t="n">
        <x:f>IF(AND(G20&gt;=5,H20=""),1,0)</x:f>
        <x:v>1</x:v>
      </x:c>
      <x:c r="J20" s="24" t="str">
        <x:v>Aberta</x:v>
      </x:c>
      <x:c r="K20" s="41" t="b">
        <x:v>1</x:v>
      </x:c>
      <x:c r="L20" s="27" t="str">
        <x:v>Rascunho sintético conferido antes de qualquer envio.</x:v>
      </x:c>
    </x:row>
    <x:row r="21">
      <x:c r="A21" s="18" t="str">
        <x:v>PR020</x:v>
      </x:c>
      <x:c r="B21" s="18" t="str">
        <x:v>CT020</x:v>
      </x:c>
      <x:c r="C21" s="21" t="n">
        <x:v>46162.458333333336</x:v>
      </x:c>
      <x:c r="D21" s="18" t="str">
        <x:v>Hidráulica leve</x:v>
      </x:c>
      <x:c r="E21" s="45" t="n">
        <x:v>14</x:v>
      </x:c>
      <x:c r="F21" s="40" t="n">
        <x:v>46163.458333333336</x:v>
      </x:c>
      <x:c r="G21" s="45" t="n">
        <x:f>MAX(0,INT(DATE(2026,5,31)-C21))</x:f>
        <x:v>10</x:v>
      </x:c>
      <x:c r="H21" s="40"/>
      <x:c r="I21" s="48" t="n">
        <x:f>IF(AND(G21&gt;=5,H21=""),1,0)</x:f>
        <x:v>1</x:v>
      </x:c>
      <x:c r="J21" s="24" t="str">
        <x:v>Aberta</x:v>
      </x:c>
      <x:c r="K21" s="41" t="b">
        <x:v>1</x:v>
      </x:c>
      <x:c r="L21" s="27" t="str">
        <x:v>Rascunho sintético conferido antes de qualquer envio.</x:v>
      </x:c>
    </x:row>
    <x:row r="22">
      <x:c r="A22" s="18" t="str">
        <x:v>PR021</x:v>
      </x:c>
      <x:c r="B22" s="18" t="str">
        <x:v>CT021</x:v>
      </x:c>
      <x:c r="C22" s="21" t="n">
        <x:v>46143.5</x:v>
      </x:c>
      <x:c r="D22" s="18" t="str">
        <x:v>Elétrica leve</x:v>
      </x:c>
      <x:c r="E22" s="45" t="n">
        <x:v>15</x:v>
      </x:c>
      <x:c r="F22" s="40" t="n">
        <x:v>46144.5</x:v>
      </x:c>
      <x:c r="G22" s="45" t="n">
        <x:f>MAX(0,INT(DATE(2026,5,31)-C22))</x:f>
        <x:v>29</x:v>
      </x:c>
      <x:c r="H22" s="40"/>
      <x:c r="I22" s="48" t="n">
        <x:f>IF(AND(G22&gt;=5,H22=""),1,0)</x:f>
        <x:v>1</x:v>
      </x:c>
      <x:c r="J22" s="24" t="str">
        <x:v>Aberta</x:v>
      </x:c>
      <x:c r="K22" s="41" t="b">
        <x:v>1</x:v>
      </x:c>
      <x:c r="L22" s="27" t="str">
        <x:v>Rascunho sintético conferido antes de qualquer envio.</x:v>
      </x:c>
    </x:row>
    <x:row r="23">
      <x:c r="A23" s="18" t="str">
        <x:v>PR022</x:v>
      </x:c>
      <x:c r="B23" s="18" t="str">
        <x:v>CT022</x:v>
      </x:c>
      <x:c r="C23" s="21" t="n">
        <x:v>46144.541666666664</x:v>
      </x:c>
      <x:c r="D23" s="18" t="str">
        <x:v>Climatização</x:v>
      </x:c>
      <x:c r="E23" s="45"/>
      <x:c r="F23" s="40" t="n">
        <x:v>46145.541666666664</x:v>
      </x:c>
      <x:c r="G23" s="45" t="n">
        <x:f>MAX(0,INT(DATE(2026,5,31)-C23))</x:f>
        <x:v>28</x:v>
      </x:c>
      <x:c r="H23" s="40"/>
      <x:c r="I23" s="48" t="n">
        <x:f>IF(AND(G23&gt;=5,H23=""),1,0)</x:f>
        <x:v>1</x:v>
      </x:c>
      <x:c r="J23" s="24" t="str">
        <x:v>Aberta</x:v>
      </x:c>
      <x:c r="K23" s="41" t="b">
        <x:v>1</x:v>
      </x:c>
      <x:c r="L23" s="27" t="str">
        <x:v>Rascunho sintético conferido antes de qualquer envio.</x:v>
      </x:c>
    </x:row>
    <x:row r="24">
      <x:c r="A24" s="18" t="str">
        <x:v>PR023</x:v>
      </x:c>
      <x:c r="B24" s="18" t="str">
        <x:v>CT023</x:v>
      </x:c>
      <x:c r="C24" s="21" t="n">
        <x:v>46145.583333333336</x:v>
      </x:c>
      <x:c r="D24" s="18" t="str">
        <x:v>Refrigeração</x:v>
      </x:c>
      <x:c r="E24" s="45"/>
      <x:c r="F24" s="40" t="n">
        <x:v>46146.583333333336</x:v>
      </x:c>
      <x:c r="G24" s="45" t="n">
        <x:f>MAX(0,INT(DATE(2026,5,31)-C24))</x:f>
        <x:v>27</x:v>
      </x:c>
      <x:c r="H24" s="40"/>
      <x:c r="I24" s="48" t="n">
        <x:f>IF(AND(G24&gt;=5,H24=""),1,0)</x:f>
        <x:v>1</x:v>
      </x:c>
      <x:c r="J24" s="24" t="str">
        <x:v>Aberta</x:v>
      </x:c>
      <x:c r="K24" s="41" t="b">
        <x:v>1</x:v>
      </x:c>
      <x:c r="L24" s="27" t="str">
        <x:v>Rascunho sintético conferido antes de qualquer envio.</x:v>
      </x:c>
    </x:row>
    <x:row r="25">
      <x:c r="A25" s="18" t="str">
        <x:v>PR024</x:v>
      </x:c>
      <x:c r="B25" s="18" t="str">
        <x:v>CT024</x:v>
      </x:c>
      <x:c r="C25" s="21" t="n">
        <x:v>46146.625</x:v>
      </x:c>
      <x:c r="D25" s="18" t="str">
        <x:v>Hidráulica leve</x:v>
      </x:c>
      <x:c r="E25" s="45"/>
      <x:c r="F25" s="40" t="n">
        <x:v>46147.625</x:v>
      </x:c>
      <x:c r="G25" s="45" t="n">
        <x:f>MAX(0,INT(DATE(2026,5,31)-C25))</x:f>
        <x:v>26</x:v>
      </x:c>
      <x:c r="H25" s="40"/>
      <x:c r="I25" s="48" t="n">
        <x:f>IF(AND(G25&gt;=5,H25=""),1,0)</x:f>
        <x:v>1</x:v>
      </x:c>
      <x:c r="J25" s="24" t="str">
        <x:v>Aberta</x:v>
      </x:c>
      <x:c r="K25" s="41" t="b">
        <x:v>1</x:v>
      </x:c>
      <x:c r="L25" s="27" t="str">
        <x:v>Rascunho sintético conferido antes de qualquer envio.</x:v>
      </x:c>
    </x:row>
    <x:row r="26">
      <x:c r="A26" s="18" t="str">
        <x:v>PR025</x:v>
      </x:c>
      <x:c r="B26" s="18" t="str">
        <x:v>CT025</x:v>
      </x:c>
      <x:c r="C26" s="21" t="n">
        <x:v>46147.416666666664</x:v>
      </x:c>
      <x:c r="D26" s="18" t="str">
        <x:v>Elétrica leve</x:v>
      </x:c>
      <x:c r="E26" s="45"/>
      <x:c r="F26" s="40" t="n">
        <x:v>46148.416666666664</x:v>
      </x:c>
      <x:c r="G26" s="45" t="n">
        <x:f>MAX(0,INT(DATE(2026,5,31)-C26))</x:f>
        <x:v>25</x:v>
      </x:c>
      <x:c r="H26" s="40"/>
      <x:c r="I26" s="48" t="n">
        <x:f>IF(AND(G26&gt;=5,H26=""),1,0)</x:f>
        <x:v>1</x:v>
      </x:c>
      <x:c r="J26" s="24" t="str">
        <x:v>Aberta</x:v>
      </x:c>
      <x:c r="K26" s="41" t="b">
        <x:v>1</x:v>
      </x:c>
      <x:c r="L26" s="27" t="str">
        <x:v>Rascunho sintético conferido antes de qualquer envio.</x:v>
      </x:c>
    </x:row>
    <x:row r="27">
      <x:c r="A27" s="18" t="str">
        <x:v>PR026</x:v>
      </x:c>
      <x:c r="B27" s="18" t="str">
        <x:v>CT026</x:v>
      </x:c>
      <x:c r="C27" s="21" t="n">
        <x:v>46148.458333333336</x:v>
      </x:c>
      <x:c r="D27" s="18" t="str">
        <x:v>Climatização</x:v>
      </x:c>
      <x:c r="E27" s="45"/>
      <x:c r="F27" s="40" t="n">
        <x:v>46149.458333333336</x:v>
      </x:c>
      <x:c r="G27" s="45" t="n">
        <x:f>MAX(0,INT(DATE(2026,5,31)-C27))</x:f>
        <x:v>24</x:v>
      </x:c>
      <x:c r="H27" s="40"/>
      <x:c r="I27" s="48" t="n">
        <x:f>IF(AND(G27&gt;=5,H27=""),1,0)</x:f>
        <x:v>1</x:v>
      </x:c>
      <x:c r="J27" s="24" t="str">
        <x:v>Aberta</x:v>
      </x:c>
      <x:c r="K27" s="41" t="b">
        <x:v>1</x:v>
      </x:c>
      <x:c r="L27" s="27" t="str">
        <x:v>Rascunho sintético conferido antes de qualquer envio.</x:v>
      </x:c>
    </x:row>
    <x:row r="28">
      <x:c r="A28" s="18" t="str">
        <x:v>PR027</x:v>
      </x:c>
      <x:c r="B28" s="18" t="str">
        <x:v>CT027</x:v>
      </x:c>
      <x:c r="C28" s="21" t="n">
        <x:v>46149.5</x:v>
      </x:c>
      <x:c r="D28" s="18" t="str">
        <x:v>Refrigeração</x:v>
      </x:c>
      <x:c r="E28" s="45"/>
      <x:c r="F28" s="40" t="n">
        <x:v>46150.5</x:v>
      </x:c>
      <x:c r="G28" s="45" t="n">
        <x:f>MAX(0,INT(DATE(2026,5,31)-C28))</x:f>
        <x:v>23</x:v>
      </x:c>
      <x:c r="H28" s="40"/>
      <x:c r="I28" s="48" t="n">
        <x:f>IF(AND(G28&gt;=5,H28=""),1,0)</x:f>
        <x:v>1</x:v>
      </x:c>
      <x:c r="J28" s="24" t="str">
        <x:v>Aberta</x:v>
      </x:c>
      <x:c r="K28" s="41" t="b">
        <x:v>1</x:v>
      </x:c>
      <x:c r="L28" s="27" t="str">
        <x:v>Rascunho sintético conferido antes de qualquer envio.</x:v>
      </x:c>
    </x:row>
    <x:row r="29">
      <x:c r="A29" s="18" t="str">
        <x:v>PR028</x:v>
      </x:c>
      <x:c r="B29" s="18" t="str">
        <x:v>CT028</x:v>
      </x:c>
      <x:c r="C29" s="21" t="n">
        <x:v>46150.541666666664</x:v>
      </x:c>
      <x:c r="D29" s="18" t="str">
        <x:v>Hidráulica leve</x:v>
      </x:c>
      <x:c r="E29" s="45"/>
      <x:c r="F29" s="40" t="n">
        <x:v>46151.541666666664</x:v>
      </x:c>
      <x:c r="G29" s="45" t="n">
        <x:f>MAX(0,INT(DATE(2026,5,31)-C29))</x:f>
        <x:v>22</x:v>
      </x:c>
      <x:c r="H29" s="40"/>
      <x:c r="I29" s="48" t="n">
        <x:f>IF(AND(G29&gt;=5,H29=""),1,0)</x:f>
        <x:v>1</x:v>
      </x:c>
      <x:c r="J29" s="24" t="str">
        <x:v>Aberta</x:v>
      </x:c>
      <x:c r="K29" s="41" t="b">
        <x:v>1</x:v>
      </x:c>
      <x:c r="L29" s="27" t="str">
        <x:v>Rascunho sintético conferido antes de qualquer envio.</x:v>
      </x:c>
    </x:row>
    <x:row r="30">
      <x:c r="A30" s="18" t="str">
        <x:v>PR029</x:v>
      </x:c>
      <x:c r="B30" s="18" t="str">
        <x:v>CT029</x:v>
      </x:c>
      <x:c r="C30" s="21" t="n">
        <x:v>46151.583333333336</x:v>
      </x:c>
      <x:c r="D30" s="18" t="str">
        <x:v>Elétrica leve</x:v>
      </x:c>
      <x:c r="E30" s="45"/>
      <x:c r="F30" s="40" t="n">
        <x:v>46152.583333333336</x:v>
      </x:c>
      <x:c r="G30" s="45" t="n">
        <x:f>MAX(0,INT(DATE(2026,5,31)-C30))</x:f>
        <x:v>21</x:v>
      </x:c>
      <x:c r="H30" s="40" t="n">
        <x:v>46154.583333333336</x:v>
      </x:c>
      <x:c r="I30" s="48" t="n">
        <x:f>IF(AND(G30&gt;=5,H30=""),1,0)</x:f>
        <x:v>0</x:v>
      </x:c>
      <x:c r="J30" s="24" t="str">
        <x:v>Aceita</x:v>
      </x:c>
      <x:c r="K30" s="41" t="b">
        <x:v>1</x:v>
      </x:c>
      <x:c r="L30" s="27" t="str">
        <x:v>Rascunho sintético conferido antes de qualquer envio.</x:v>
      </x:c>
    </x:row>
    <x:row r="31">
      <x:c r="A31" s="18" t="str">
        <x:v>PR030</x:v>
      </x:c>
      <x:c r="B31" s="18" t="str">
        <x:v>CT030</x:v>
      </x:c>
      <x:c r="C31" s="21" t="n">
        <x:v>46152.625</x:v>
      </x:c>
      <x:c r="D31" s="18" t="str">
        <x:v>Climatização</x:v>
      </x:c>
      <x:c r="E31" s="45"/>
      <x:c r="F31" s="40" t="n">
        <x:v>46153.625</x:v>
      </x:c>
      <x:c r="G31" s="45" t="n">
        <x:f>MAX(0,INT(DATE(2026,5,31)-C31))</x:f>
        <x:v>20</x:v>
      </x:c>
      <x:c r="H31" s="40" t="n">
        <x:v>46155.625</x:v>
      </x:c>
      <x:c r="I31" s="48" t="n">
        <x:f>IF(AND(G31&gt;=5,H31=""),1,0)</x:f>
        <x:v>0</x:v>
      </x:c>
      <x:c r="J31" s="24" t="str">
        <x:v>Encerrada</x:v>
      </x:c>
      <x:c r="K31" s="41" t="b">
        <x:v>1</x:v>
      </x:c>
      <x:c r="L31" s="27" t="str">
        <x:v>Rascunho sintético conferido antes de qualquer envio.</x:v>
      </x:c>
    </x:row>
    <x:row r="32">
      <x:c r="A32" s="18" t="str">
        <x:v>PR031</x:v>
      </x:c>
      <x:c r="B32" s="18" t="str">
        <x:v>CT031</x:v>
      </x:c>
      <x:c r="C32" s="21" t="n">
        <x:v>46153.416666666664</x:v>
      </x:c>
      <x:c r="D32" s="18" t="str">
        <x:v>Refrigeração</x:v>
      </x:c>
      <x:c r="E32" s="45"/>
      <x:c r="F32" s="40" t="n">
        <x:v>46154.416666666664</x:v>
      </x:c>
      <x:c r="G32" s="45" t="n">
        <x:f>MAX(0,INT(DATE(2026,5,31)-C32))</x:f>
        <x:v>19</x:v>
      </x:c>
      <x:c r="H32" s="40" t="n">
        <x:v>46156.416666666664</x:v>
      </x:c>
      <x:c r="I32" s="48" t="n">
        <x:f>IF(AND(G32&gt;=5,H32=""),1,0)</x:f>
        <x:v>0</x:v>
      </x:c>
      <x:c r="J32" s="24" t="str">
        <x:v>Acompanhada</x:v>
      </x:c>
      <x:c r="K32" s="41" t="b">
        <x:v>1</x:v>
      </x:c>
      <x:c r="L32" s="27" t="str">
        <x:v>Rascunho sintético conferido antes de qualquer envio.</x:v>
      </x:c>
    </x:row>
    <x:row r="33">
      <x:c r="A33" s="18" t="str">
        <x:v>PR032</x:v>
      </x:c>
      <x:c r="B33" s="18" t="str">
        <x:v>CT032</x:v>
      </x:c>
      <x:c r="C33" s="21" t="n">
        <x:v>46154.458333333336</x:v>
      </x:c>
      <x:c r="D33" s="18" t="str">
        <x:v>Hidráulica leve</x:v>
      </x:c>
      <x:c r="E33" s="45"/>
      <x:c r="F33" s="40" t="n">
        <x:v>46155.458333333336</x:v>
      </x:c>
      <x:c r="G33" s="45" t="n">
        <x:f>MAX(0,INT(DATE(2026,5,31)-C33))</x:f>
        <x:v>18</x:v>
      </x:c>
      <x:c r="H33" s="40" t="n">
        <x:v>46157.458333333336</x:v>
      </x:c>
      <x:c r="I33" s="48" t="n">
        <x:f>IF(AND(G33&gt;=5,H33=""),1,0)</x:f>
        <x:v>0</x:v>
      </x:c>
      <x:c r="J33" s="24" t="str">
        <x:v>Aceita</x:v>
      </x:c>
      <x:c r="K33" s="41" t="b">
        <x:v>1</x:v>
      </x:c>
      <x:c r="L33" s="27" t="str">
        <x:v>Rascunho sintético conferido antes de qualquer envio.</x:v>
      </x:c>
    </x:row>
    <x:row r="34">
      <x:c r="A34" s="18" t="str">
        <x:v>PR033</x:v>
      </x:c>
      <x:c r="B34" s="18" t="str">
        <x:v>CT033</x:v>
      </x:c>
      <x:c r="C34" s="21" t="n">
        <x:v>46155.5</x:v>
      </x:c>
      <x:c r="D34" s="18" t="str">
        <x:v>Elétrica leve</x:v>
      </x:c>
      <x:c r="E34" s="45"/>
      <x:c r="F34" s="40" t="n">
        <x:v>46156.5</x:v>
      </x:c>
      <x:c r="G34" s="45" t="n">
        <x:f>MAX(0,INT(DATE(2026,5,31)-C34))</x:f>
        <x:v>17</x:v>
      </x:c>
      <x:c r="H34" s="40" t="n">
        <x:v>46158.5</x:v>
      </x:c>
      <x:c r="I34" s="48" t="n">
        <x:f>IF(AND(G34&gt;=5,H34=""),1,0)</x:f>
        <x:v>0</x:v>
      </x:c>
      <x:c r="J34" s="24" t="str">
        <x:v>Encerrada</x:v>
      </x:c>
      <x:c r="K34" s="41" t="b">
        <x:v>1</x:v>
      </x:c>
      <x:c r="L34" s="27" t="str">
        <x:v>Rascunho sintético conferido antes de qualquer envio.</x:v>
      </x:c>
    </x:row>
    <x:row r="35">
      <x:c r="A35" s="18" t="str">
        <x:v>PR034</x:v>
      </x:c>
      <x:c r="B35" s="18" t="str">
        <x:v>CT034</x:v>
      </x:c>
      <x:c r="C35" s="21" t="n">
        <x:v>46156.541666666664</x:v>
      </x:c>
      <x:c r="D35" s="18" t="str">
        <x:v>Climatização</x:v>
      </x:c>
      <x:c r="E35" s="45"/>
      <x:c r="F35" s="40" t="n">
        <x:v>46157.541666666664</x:v>
      </x:c>
      <x:c r="G35" s="45" t="n">
        <x:f>MAX(0,INT(DATE(2026,5,31)-C35))</x:f>
        <x:v>16</x:v>
      </x:c>
      <x:c r="H35" s="40" t="n">
        <x:v>46159.541666666664</x:v>
      </x:c>
      <x:c r="I35" s="48" t="n">
        <x:f>IF(AND(G35&gt;=5,H35=""),1,0)</x:f>
        <x:v>0</x:v>
      </x:c>
      <x:c r="J35" s="24" t="str">
        <x:v>Acompanhada</x:v>
      </x:c>
      <x:c r="K35" s="41" t="b">
        <x:v>1</x:v>
      </x:c>
      <x:c r="L35" s="27" t="str">
        <x:v>Rascunho sintético conferido antes de qualquer envio.</x:v>
      </x:c>
    </x:row>
    <x:row r="36">
      <x:c r="A36" s="18" t="str">
        <x:v>PR035</x:v>
      </x:c>
      <x:c r="B36" s="18" t="str">
        <x:v>CT035</x:v>
      </x:c>
      <x:c r="C36" s="21" t="n">
        <x:v>46157.583333333336</x:v>
      </x:c>
      <x:c r="D36" s="18" t="str">
        <x:v>Refrigeração</x:v>
      </x:c>
      <x:c r="E36" s="45"/>
      <x:c r="F36" s="40" t="n">
        <x:v>46158.583333333336</x:v>
      </x:c>
      <x:c r="G36" s="45" t="n">
        <x:f>MAX(0,INT(DATE(2026,5,31)-C36))</x:f>
        <x:v>15</x:v>
      </x:c>
      <x:c r="H36" s="40" t="n">
        <x:v>46160.583333333336</x:v>
      </x:c>
      <x:c r="I36" s="48" t="n">
        <x:f>IF(AND(G36&gt;=5,H36=""),1,0)</x:f>
        <x:v>0</x:v>
      </x:c>
      <x:c r="J36" s="24" t="str">
        <x:v>Aceita</x:v>
      </x:c>
      <x:c r="K36" s="41" t="b">
        <x:v>1</x:v>
      </x:c>
      <x:c r="L36" s="27" t="str">
        <x:v>Rascunho sintético conferido antes de qualquer envio.</x:v>
      </x:c>
    </x:row>
    <x:row r="37">
      <x:c r="A37" s="18" t="str">
        <x:v>PR036</x:v>
      </x:c>
      <x:c r="B37" s="18" t="str">
        <x:v>CT036</x:v>
      </x:c>
      <x:c r="C37" s="21" t="n">
        <x:v>46158.625</x:v>
      </x:c>
      <x:c r="D37" s="18" t="str">
        <x:v>Hidráulica leve</x:v>
      </x:c>
      <x:c r="E37" s="45"/>
      <x:c r="F37" s="40" t="n">
        <x:v>46159.625</x:v>
      </x:c>
      <x:c r="G37" s="45" t="n">
        <x:f>MAX(0,INT(DATE(2026,5,31)-C37))</x:f>
        <x:v>14</x:v>
      </x:c>
      <x:c r="H37" s="40" t="n">
        <x:v>46161.625</x:v>
      </x:c>
      <x:c r="I37" s="48" t="n">
        <x:f>IF(AND(G37&gt;=5,H37=""),1,0)</x:f>
        <x:v>0</x:v>
      </x:c>
      <x:c r="J37" s="24" t="str">
        <x:v>Encerrada</x:v>
      </x:c>
      <x:c r="K37" s="41" t="b">
        <x:v>1</x:v>
      </x:c>
      <x:c r="L37" s="27" t="str">
        <x:v>Rascunho sintético conferido antes de qualquer envio.</x:v>
      </x:c>
    </x:row>
    <x:row r="38">
      <x:c r="A38" s="18" t="str">
        <x:v>PR037</x:v>
      </x:c>
      <x:c r="B38" s="18" t="str">
        <x:v>CT037</x:v>
      </x:c>
      <x:c r="C38" s="21" t="n">
        <x:v>46159.416666666664</x:v>
      </x:c>
      <x:c r="D38" s="18" t="str">
        <x:v>Elétrica leve</x:v>
      </x:c>
      <x:c r="E38" s="45"/>
      <x:c r="F38" s="40" t="n">
        <x:v>46160.416666666664</x:v>
      </x:c>
      <x:c r="G38" s="45" t="n">
        <x:f>MAX(0,INT(DATE(2026,5,31)-C38))</x:f>
        <x:v>13</x:v>
      </x:c>
      <x:c r="H38" s="40" t="n">
        <x:v>46162.416666666664</x:v>
      </x:c>
      <x:c r="I38" s="48" t="n">
        <x:f>IF(AND(G38&gt;=5,H38=""),1,0)</x:f>
        <x:v>0</x:v>
      </x:c>
      <x:c r="J38" s="24" t="str">
        <x:v>Acompanhada</x:v>
      </x:c>
      <x:c r="K38" s="41" t="b">
        <x:v>1</x:v>
      </x:c>
      <x:c r="L38" s="27" t="str">
        <x:v>Rascunho sintético conferido antes de qualquer envio.</x:v>
      </x:c>
    </x:row>
    <x:row r="39">
      <x:c r="A39" s="18" t="str">
        <x:v>PR038</x:v>
      </x:c>
      <x:c r="B39" s="18" t="str">
        <x:v>CT038</x:v>
      </x:c>
      <x:c r="C39" s="21" t="n">
        <x:v>46160.458333333336</x:v>
      </x:c>
      <x:c r="D39" s="18" t="str">
        <x:v>Climatização</x:v>
      </x:c>
      <x:c r="E39" s="45"/>
      <x:c r="F39" s="40" t="n">
        <x:v>46161.458333333336</x:v>
      </x:c>
      <x:c r="G39" s="45" t="n">
        <x:f>MAX(0,INT(DATE(2026,5,31)-C39))</x:f>
        <x:v>12</x:v>
      </x:c>
      <x:c r="H39" s="40" t="n">
        <x:v>46163.458333333336</x:v>
      </x:c>
      <x:c r="I39" s="48" t="n">
        <x:f>IF(AND(G39&gt;=5,H39=""),1,0)</x:f>
        <x:v>0</x:v>
      </x:c>
      <x:c r="J39" s="24" t="str">
        <x:v>Aceita</x:v>
      </x:c>
      <x:c r="K39" s="41" t="b">
        <x:v>1</x:v>
      </x:c>
      <x:c r="L39" s="27" t="str">
        <x:v>Rascunho sintético conferido antes de qualquer envio.</x:v>
      </x:c>
    </x:row>
    <x:row r="40">
      <x:c r="A40" s="18" t="str">
        <x:v>PR039</x:v>
      </x:c>
      <x:c r="B40" s="18" t="str">
        <x:v>CT039</x:v>
      </x:c>
      <x:c r="C40" s="21" t="n">
        <x:v>46161.5</x:v>
      </x:c>
      <x:c r="D40" s="18" t="str">
        <x:v>Refrigeração</x:v>
      </x:c>
      <x:c r="E40" s="45"/>
      <x:c r="F40" s="40" t="n">
        <x:v>46162.5</x:v>
      </x:c>
      <x:c r="G40" s="45" t="n">
        <x:f>MAX(0,INT(DATE(2026,5,31)-C40))</x:f>
        <x:v>11</x:v>
      </x:c>
      <x:c r="H40" s="40" t="n">
        <x:v>46164.5</x:v>
      </x:c>
      <x:c r="I40" s="48" t="n">
        <x:f>IF(AND(G40&gt;=5,H40=""),1,0)</x:f>
        <x:v>0</x:v>
      </x:c>
      <x:c r="J40" s="24" t="str">
        <x:v>Encerrada</x:v>
      </x:c>
      <x:c r="K40" s="41" t="b">
        <x:v>1</x:v>
      </x:c>
      <x:c r="L40" s="27" t="str">
        <x:v>Rascunho sintético conferido antes de qualquer envio.</x:v>
      </x:c>
    </x:row>
    <x:row r="41">
      <x:c r="A41" s="18" t="str">
        <x:v>PR040</x:v>
      </x:c>
      <x:c r="B41" s="18" t="str">
        <x:v>CT040</x:v>
      </x:c>
      <x:c r="C41" s="21" t="n">
        <x:v>46162.541666666664</x:v>
      </x:c>
      <x:c r="D41" s="18" t="str">
        <x:v>Hidráulica leve</x:v>
      </x:c>
      <x:c r="E41" s="45"/>
      <x:c r="F41" s="40" t="n">
        <x:v>46163.541666666664</x:v>
      </x:c>
      <x:c r="G41" s="45" t="n">
        <x:f>MAX(0,INT(DATE(2026,5,31)-C41))</x:f>
        <x:v>10</x:v>
      </x:c>
      <x:c r="H41" s="40" t="n">
        <x:v>46165.541666666664</x:v>
      </x:c>
      <x:c r="I41" s="48" t="n">
        <x:f>IF(AND(G41&gt;=5,H41=""),1,0)</x:f>
        <x:v>0</x:v>
      </x:c>
      <x:c r="J41" s="24" t="str">
        <x:v>Acompanhada</x:v>
      </x:c>
      <x:c r="K41" s="41" t="b">
        <x:v>1</x:v>
      </x:c>
      <x:c r="L41" s="27" t="str">
        <x:v>Rascunho sintético conferido antes de qualquer envio.</x:v>
      </x:c>
    </x:row>
    <x:row r="42">
      <x:c r="A42" s="18" t="str">
        <x:v>PR041</x:v>
      </x:c>
      <x:c r="B42" s="18" t="str">
        <x:v>CT041</x:v>
      </x:c>
      <x:c r="C42" s="21" t="n">
        <x:v>46143.583333333336</x:v>
      </x:c>
      <x:c r="D42" s="18" t="str">
        <x:v>Elétrica leve</x:v>
      </x:c>
      <x:c r="E42" s="45"/>
      <x:c r="F42" s="40" t="n">
        <x:v>46144.583333333336</x:v>
      </x:c>
      <x:c r="G42" s="45" t="n">
        <x:f>MAX(0,INT(DATE(2026,5,31)-C42))</x:f>
        <x:v>29</x:v>
      </x:c>
      <x:c r="H42" s="40" t="n">
        <x:v>46146.583333333336</x:v>
      </x:c>
      <x:c r="I42" s="48" t="n">
        <x:f>IF(AND(G42&gt;=5,H42=""),1,0)</x:f>
        <x:v>0</x:v>
      </x:c>
      <x:c r="J42" s="24" t="str">
        <x:v>Aceita</x:v>
      </x:c>
      <x:c r="K42" s="41" t="b">
        <x:v>1</x:v>
      </x:c>
      <x:c r="L42" s="27" t="str">
        <x:v>Rascunho sintético conferido antes de qualquer envio.</x:v>
      </x:c>
    </x:row>
    <x:row r="43">
      <x:c r="A43" s="18" t="str">
        <x:v>PR042</x:v>
      </x:c>
      <x:c r="B43" s="18" t="str">
        <x:v>CT042</x:v>
      </x:c>
      <x:c r="C43" s="21" t="n">
        <x:v>46144.625</x:v>
      </x:c>
      <x:c r="D43" s="18" t="str">
        <x:v>Climatização</x:v>
      </x:c>
      <x:c r="E43" s="45"/>
      <x:c r="F43" s="40" t="n">
        <x:v>46145.625</x:v>
      </x:c>
      <x:c r="G43" s="45" t="n">
        <x:f>MAX(0,INT(DATE(2026,5,31)-C43))</x:f>
        <x:v>28</x:v>
      </x:c>
      <x:c r="H43" s="40" t="n">
        <x:v>46147.625</x:v>
      </x:c>
      <x:c r="I43" s="48" t="n">
        <x:f>IF(AND(G43&gt;=5,H43=""),1,0)</x:f>
        <x:v>0</x:v>
      </x:c>
      <x:c r="J43" s="24" t="str">
        <x:v>Encerrada</x:v>
      </x:c>
      <x:c r="K43" s="41" t="b">
        <x:v>1</x:v>
      </x:c>
      <x:c r="L43" s="27" t="str">
        <x:v>Rascunho sintético conferido antes de qualquer envio.</x:v>
      </x:c>
    </x:row>
    <x:row r="44">
      <x:c r="A44" s="18" t="str">
        <x:v>PR043</x:v>
      </x:c>
      <x:c r="B44" s="18" t="str">
        <x:v>CT043</x:v>
      </x:c>
      <x:c r="C44" s="21" t="n">
        <x:v>46145.416666666664</x:v>
      </x:c>
      <x:c r="D44" s="18" t="str">
        <x:v>Refrigeração</x:v>
      </x:c>
      <x:c r="E44" s="45"/>
      <x:c r="F44" s="40" t="n">
        <x:v>46146.416666666664</x:v>
      </x:c>
      <x:c r="G44" s="45" t="n">
        <x:f>MAX(0,INT(DATE(2026,5,31)-C44))</x:f>
        <x:v>27</x:v>
      </x:c>
      <x:c r="H44" s="40" t="n">
        <x:v>46148.416666666664</x:v>
      </x:c>
      <x:c r="I44" s="48" t="n">
        <x:f>IF(AND(G44&gt;=5,H44=""),1,0)</x:f>
        <x:v>0</x:v>
      </x:c>
      <x:c r="J44" s="24" t="str">
        <x:v>Acompanhada</x:v>
      </x:c>
      <x:c r="K44" s="41" t="b">
        <x:v>1</x:v>
      </x:c>
      <x:c r="L44" s="27" t="str">
        <x:v>Rascunho sintético conferido antes de qualquer envio.</x:v>
      </x:c>
    </x:row>
    <x:row r="45">
      <x:c r="A45" s="18" t="str">
        <x:v>PR044</x:v>
      </x:c>
      <x:c r="B45" s="18" t="str">
        <x:v>CT044</x:v>
      </x:c>
      <x:c r="C45" s="21" t="n">
        <x:v>46146.458333333336</x:v>
      </x:c>
      <x:c r="D45" s="18" t="str">
        <x:v>Hidráulica leve</x:v>
      </x:c>
      <x:c r="E45" s="45"/>
      <x:c r="F45" s="40" t="n">
        <x:v>46147.458333333336</x:v>
      </x:c>
      <x:c r="G45" s="45" t="n">
        <x:f>MAX(0,INT(DATE(2026,5,31)-C45))</x:f>
        <x:v>26</x:v>
      </x:c>
      <x:c r="H45" s="40" t="n">
        <x:v>46149.458333333336</x:v>
      </x:c>
      <x:c r="I45" s="48" t="n">
        <x:f>IF(AND(G45&gt;=5,H45=""),1,0)</x:f>
        <x:v>0</x:v>
      </x:c>
      <x:c r="J45" s="24" t="str">
        <x:v>Aceita</x:v>
      </x:c>
      <x:c r="K45" s="41" t="b">
        <x:v>1</x:v>
      </x:c>
      <x:c r="L45" s="27" t="str">
        <x:v>Rascunho sintético conferido antes de qualquer envio.</x:v>
      </x:c>
    </x:row>
    <x:row r="46">
      <x:c r="A46" s="18" t="str">
        <x:v>PR045</x:v>
      </x:c>
      <x:c r="B46" s="18" t="str">
        <x:v>CT045</x:v>
      </x:c>
      <x:c r="C46" s="21" t="n">
        <x:v>46147.5</x:v>
      </x:c>
      <x:c r="D46" s="18" t="str">
        <x:v>Elétrica leve</x:v>
      </x:c>
      <x:c r="E46" s="45"/>
      <x:c r="F46" s="40" t="n">
        <x:v>46148.5</x:v>
      </x:c>
      <x:c r="G46" s="45" t="n">
        <x:f>MAX(0,INT(DATE(2026,5,31)-C46))</x:f>
        <x:v>25</x:v>
      </x:c>
      <x:c r="H46" s="40" t="n">
        <x:v>46150.5</x:v>
      </x:c>
      <x:c r="I46" s="48" t="n">
        <x:f>IF(AND(G46&gt;=5,H46=""),1,0)</x:f>
        <x:v>0</x:v>
      </x:c>
      <x:c r="J46" s="24" t="str">
        <x:v>Encerrada</x:v>
      </x:c>
      <x:c r="K46" s="41" t="b">
        <x:v>1</x:v>
      </x:c>
      <x:c r="L46" s="27" t="str">
        <x:v>Rascunho sintético conferido antes de qualquer envio.</x:v>
      </x:c>
    </x:row>
    <x:row r="47">
      <x:c r="A47" s="18" t="str">
        <x:v>PR046</x:v>
      </x:c>
      <x:c r="B47" s="18" t="str">
        <x:v>CT046</x:v>
      </x:c>
      <x:c r="C47" s="21" t="n">
        <x:v>46148.541666666664</x:v>
      </x:c>
      <x:c r="D47" s="18" t="str">
        <x:v>Climatização</x:v>
      </x:c>
      <x:c r="E47" s="45"/>
      <x:c r="F47" s="40" t="n">
        <x:v>46149.541666666664</x:v>
      </x:c>
      <x:c r="G47" s="45" t="n">
        <x:f>MAX(0,INT(DATE(2026,5,31)-C47))</x:f>
        <x:v>24</x:v>
      </x:c>
      <x:c r="H47" s="40" t="n">
        <x:v>46151.541666666664</x:v>
      </x:c>
      <x:c r="I47" s="48" t="n">
        <x:f>IF(AND(G47&gt;=5,H47=""),1,0)</x:f>
        <x:v>0</x:v>
      </x:c>
      <x:c r="J47" s="24" t="str">
        <x:v>Acompanhada</x:v>
      </x:c>
      <x:c r="K47" s="41" t="b">
        <x:v>1</x:v>
      </x:c>
      <x:c r="L47" s="27" t="str">
        <x:v>Rascunho sintético conferido antes de qualquer envio.</x:v>
      </x:c>
    </x:row>
    <x:row r="48">
      <x:c r="A48" s="18" t="str">
        <x:v>PR047</x:v>
      </x:c>
      <x:c r="B48" s="18" t="str">
        <x:v>CT047</x:v>
      </x:c>
      <x:c r="C48" s="21" t="n">
        <x:v>46149.583333333336</x:v>
      </x:c>
      <x:c r="D48" s="18" t="str">
        <x:v>Refrigeração</x:v>
      </x:c>
      <x:c r="E48" s="45"/>
      <x:c r="F48" s="40" t="n">
        <x:v>46150.583333333336</x:v>
      </x:c>
      <x:c r="G48" s="45" t="n">
        <x:f>MAX(0,INT(DATE(2026,5,31)-C48))</x:f>
        <x:v>23</x:v>
      </x:c>
      <x:c r="H48" s="40" t="n">
        <x:v>46152.583333333336</x:v>
      </x:c>
      <x:c r="I48" s="48" t="n">
        <x:f>IF(AND(G48&gt;=5,H48=""),1,0)</x:f>
        <x:v>0</x:v>
      </x:c>
      <x:c r="J48" s="24" t="str">
        <x:v>Aceita</x:v>
      </x:c>
      <x:c r="K48" s="41" t="b">
        <x:v>1</x:v>
      </x:c>
      <x:c r="L48" s="27" t="str">
        <x:v>Rascunho sintético conferido antes de qualquer envio.</x:v>
      </x:c>
    </x:row>
    <x:row r="49">
      <x:c r="A49" s="18" t="str">
        <x:v>PR048</x:v>
      </x:c>
      <x:c r="B49" s="18" t="str">
        <x:v>CT048</x:v>
      </x:c>
      <x:c r="C49" s="21" t="n">
        <x:v>46150.625</x:v>
      </x:c>
      <x:c r="D49" s="18" t="str">
        <x:v>Hidráulica leve</x:v>
      </x:c>
      <x:c r="E49" s="45"/>
      <x:c r="F49" s="40" t="n">
        <x:v>46151.625</x:v>
      </x:c>
      <x:c r="G49" s="45" t="n">
        <x:f>MAX(0,INT(DATE(2026,5,31)-C49))</x:f>
        <x:v>22</x:v>
      </x:c>
      <x:c r="H49" s="40" t="n">
        <x:v>46153.625</x:v>
      </x:c>
      <x:c r="I49" s="48" t="n">
        <x:f>IF(AND(G49&gt;=5,H49=""),1,0)</x:f>
        <x:v>0</x:v>
      </x:c>
      <x:c r="J49" s="24" t="str">
        <x:v>Encerrada</x:v>
      </x:c>
      <x:c r="K49" s="41" t="b">
        <x:v>1</x:v>
      </x:c>
      <x:c r="L49" s="27" t="str">
        <x:v>Rascunho sintético conferido antes de qualquer envio.</x:v>
      </x:c>
    </x:row>
    <x:row r="50">
      <x:c r="A50" s="18" t="str">
        <x:v>PR049</x:v>
      </x:c>
      <x:c r="B50" s="18" t="str">
        <x:v>CT049</x:v>
      </x:c>
      <x:c r="C50" s="21" t="n">
        <x:v>46151.416666666664</x:v>
      </x:c>
      <x:c r="D50" s="18" t="str">
        <x:v>Elétrica leve</x:v>
      </x:c>
      <x:c r="E50" s="45"/>
      <x:c r="F50" s="40" t="n">
        <x:v>46152.416666666664</x:v>
      </x:c>
      <x:c r="G50" s="45" t="n">
        <x:f>MAX(0,INT(DATE(2026,5,31)-C50))</x:f>
        <x:v>21</x:v>
      </x:c>
      <x:c r="H50" s="40" t="n">
        <x:v>46154.416666666664</x:v>
      </x:c>
      <x:c r="I50" s="48" t="n">
        <x:f>IF(AND(G50&gt;=5,H50=""),1,0)</x:f>
        <x:v>0</x:v>
      </x:c>
      <x:c r="J50" s="24" t="str">
        <x:v>Acompanhada</x:v>
      </x:c>
      <x:c r="K50" s="41" t="b">
        <x:v>1</x:v>
      </x:c>
      <x:c r="L50" s="27" t="str">
        <x:v>Rascunho sintético conferido antes de qualquer envio.</x:v>
      </x:c>
    </x:row>
    <x:row r="51">
      <x:c r="A51" s="18" t="str">
        <x:v>PR050</x:v>
      </x:c>
      <x:c r="B51" s="18" t="str">
        <x:v>CT050</x:v>
      </x:c>
      <x:c r="C51" s="21" t="n">
        <x:v>46152.458333333336</x:v>
      </x:c>
      <x:c r="D51" s="18" t="str">
        <x:v>Climatização</x:v>
      </x:c>
      <x:c r="E51" s="45"/>
      <x:c r="F51" s="40" t="n">
        <x:v>46153.458333333336</x:v>
      </x:c>
      <x:c r="G51" s="45" t="n">
        <x:f>MAX(0,INT(DATE(2026,5,31)-C51))</x:f>
        <x:v>20</x:v>
      </x:c>
      <x:c r="H51" s="40" t="n">
        <x:v>46155.458333333336</x:v>
      </x:c>
      <x:c r="I51" s="48" t="n">
        <x:f>IF(AND(G51&gt;=5,H51=""),1,0)</x:f>
        <x:v>0</x:v>
      </x:c>
      <x:c r="J51" s="24" t="str">
        <x:v>Aceita</x:v>
      </x:c>
      <x:c r="K51" s="41" t="b">
        <x:v>1</x:v>
      </x:c>
      <x:c r="L51" s="27" t="str">
        <x:v>Rascunho sintético conferido antes de qualquer envio.</x:v>
      </x:c>
    </x:row>
    <x:row r="52">
      <x:c r="A52" s="18" t="str">
        <x:v>PR051</x:v>
      </x:c>
      <x:c r="B52" s="18" t="str">
        <x:v>CT051</x:v>
      </x:c>
      <x:c r="C52" s="21" t="n">
        <x:v>46153.5</x:v>
      </x:c>
      <x:c r="D52" s="18" t="str">
        <x:v>Refrigeração</x:v>
      </x:c>
      <x:c r="E52" s="45"/>
      <x:c r="F52" s="40" t="n">
        <x:v>46154.5</x:v>
      </x:c>
      <x:c r="G52" s="45" t="n">
        <x:f>MAX(0,INT(DATE(2026,5,31)-C52))</x:f>
        <x:v>19</x:v>
      </x:c>
      <x:c r="H52" s="40" t="n">
        <x:v>46156.5</x:v>
      </x:c>
      <x:c r="I52" s="48" t="n">
        <x:f>IF(AND(G52&gt;=5,H52=""),1,0)</x:f>
        <x:v>0</x:v>
      </x:c>
      <x:c r="J52" s="24" t="str">
        <x:v>Encerrada</x:v>
      </x:c>
      <x:c r="K52" s="41" t="b">
        <x:v>1</x:v>
      </x:c>
      <x:c r="L52" s="27" t="str">
        <x:v>Rascunho sintético conferido antes de qualquer envio.</x:v>
      </x:c>
    </x:row>
    <x:row r="53">
      <x:c r="A53" s="18" t="str">
        <x:v>PR052</x:v>
      </x:c>
      <x:c r="B53" s="18" t="str">
        <x:v>CT052</x:v>
      </x:c>
      <x:c r="C53" s="21" t="n">
        <x:v>46154.541666666664</x:v>
      </x:c>
      <x:c r="D53" s="18" t="str">
        <x:v>Hidráulica leve</x:v>
      </x:c>
      <x:c r="E53" s="45"/>
      <x:c r="F53" s="40" t="n">
        <x:v>46155.541666666664</x:v>
      </x:c>
      <x:c r="G53" s="45" t="n">
        <x:f>MAX(0,INT(DATE(2026,5,31)-C53))</x:f>
        <x:v>18</x:v>
      </x:c>
      <x:c r="H53" s="40" t="n">
        <x:v>46157.541666666664</x:v>
      </x:c>
      <x:c r="I53" s="48" t="n">
        <x:f>IF(AND(G53&gt;=5,H53=""),1,0)</x:f>
        <x:v>0</x:v>
      </x:c>
      <x:c r="J53" s="24" t="str">
        <x:v>Acompanhada</x:v>
      </x:c>
      <x:c r="K53" s="41" t="b">
        <x:v>1</x:v>
      </x:c>
      <x:c r="L53" s="27" t="str">
        <x:v>Rascunho sintético conferido antes de qualquer envio.</x:v>
      </x:c>
    </x:row>
    <x:row r="54">
      <x:c r="A54" s="18" t="str">
        <x:v>PR053</x:v>
      </x:c>
      <x:c r="B54" s="18" t="str">
        <x:v>CT053</x:v>
      </x:c>
      <x:c r="C54" s="21" t="n">
        <x:v>46155.583333333336</x:v>
      </x:c>
      <x:c r="D54" s="18" t="str">
        <x:v>Elétrica leve</x:v>
      </x:c>
      <x:c r="E54" s="45"/>
      <x:c r="F54" s="40" t="n">
        <x:v>46156.583333333336</x:v>
      </x:c>
      <x:c r="G54" s="45" t="n">
        <x:f>MAX(0,INT(DATE(2026,5,31)-C54))</x:f>
        <x:v>17</x:v>
      </x:c>
      <x:c r="H54" s="40" t="n">
        <x:v>46158.583333333336</x:v>
      </x:c>
      <x:c r="I54" s="48" t="n">
        <x:f>IF(AND(G54&gt;=5,H54=""),1,0)</x:f>
        <x:v>0</x:v>
      </x:c>
      <x:c r="J54" s="24" t="str">
        <x:v>Aceita</x:v>
      </x:c>
      <x:c r="K54" s="41" t="b">
        <x:v>1</x:v>
      </x:c>
      <x:c r="L54" s="27" t="str">
        <x:v>Rascunho sintético conferido antes de qualquer envio.</x:v>
      </x:c>
    </x:row>
    <x:row r="55">
      <x:c r="A55" s="18" t="str">
        <x:v>PR054</x:v>
      </x:c>
      <x:c r="B55" s="18" t="str">
        <x:v>CT054</x:v>
      </x:c>
      <x:c r="C55" s="21" t="n">
        <x:v>46156.625</x:v>
      </x:c>
      <x:c r="D55" s="18" t="str">
        <x:v>Climatização</x:v>
      </x:c>
      <x:c r="E55" s="45"/>
      <x:c r="F55" s="40" t="n">
        <x:v>46157.625</x:v>
      </x:c>
      <x:c r="G55" s="45" t="n">
        <x:f>MAX(0,INT(DATE(2026,5,31)-C55))</x:f>
        <x:v>16</x:v>
      </x:c>
      <x:c r="H55" s="40" t="n">
        <x:v>46159.625</x:v>
      </x:c>
      <x:c r="I55" s="48" t="n">
        <x:f>IF(AND(G55&gt;=5,H55=""),1,0)</x:f>
        <x:v>0</x:v>
      </x:c>
      <x:c r="J55" s="24" t="str">
        <x:v>Encerrada</x:v>
      </x:c>
      <x:c r="K55" s="41" t="b">
        <x:v>1</x:v>
      </x:c>
      <x:c r="L55" s="27" t="str">
        <x:v>Rascunho sintético conferido antes de qualquer envio.</x:v>
      </x:c>
    </x:row>
    <x:row r="56">
      <x:c r="A56" s="18" t="str">
        <x:v>PR055</x:v>
      </x:c>
      <x:c r="B56" s="18" t="str">
        <x:v>CT055</x:v>
      </x:c>
      <x:c r="C56" s="21" t="n">
        <x:v>46157.416666666664</x:v>
      </x:c>
      <x:c r="D56" s="18" t="str">
        <x:v>Refrigeração</x:v>
      </x:c>
      <x:c r="E56" s="45"/>
      <x:c r="F56" s="40" t="n">
        <x:v>46158.416666666664</x:v>
      </x:c>
      <x:c r="G56" s="45" t="n">
        <x:f>MAX(0,INT(DATE(2026,5,31)-C56))</x:f>
        <x:v>15</x:v>
      </x:c>
      <x:c r="H56" s="40" t="n">
        <x:v>46160.416666666664</x:v>
      </x:c>
      <x:c r="I56" s="48" t="n">
        <x:f>IF(AND(G56&gt;=5,H56=""),1,0)</x:f>
        <x:v>0</x:v>
      </x:c>
      <x:c r="J56" s="24" t="str">
        <x:v>Acompanhada</x:v>
      </x:c>
      <x:c r="K56" s="41" t="b">
        <x:v>1</x:v>
      </x:c>
      <x:c r="L56" s="27" t="str">
        <x:v>Rascunho sintético conferido antes de qualquer envio.</x:v>
      </x:c>
    </x:row>
    <x:row r="57">
      <x:c r="A57" s="18" t="str">
        <x:v>PR056</x:v>
      </x:c>
      <x:c r="B57" s="18" t="str">
        <x:v>CT056</x:v>
      </x:c>
      <x:c r="C57" s="21" t="n">
        <x:v>46158.458333333336</x:v>
      </x:c>
      <x:c r="D57" s="18" t="str">
        <x:v>Hidráulica leve</x:v>
      </x:c>
      <x:c r="E57" s="45"/>
      <x:c r="F57" s="40" t="n">
        <x:v>46159.458333333336</x:v>
      </x:c>
      <x:c r="G57" s="45" t="n">
        <x:f>MAX(0,INT(DATE(2026,5,31)-C57))</x:f>
        <x:v>14</x:v>
      </x:c>
      <x:c r="H57" s="40" t="n">
        <x:v>46161.458333333336</x:v>
      </x:c>
      <x:c r="I57" s="48" t="n">
        <x:f>IF(AND(G57&gt;=5,H57=""),1,0)</x:f>
        <x:v>0</x:v>
      </x:c>
      <x:c r="J57" s="24" t="str">
        <x:v>Aceita</x:v>
      </x:c>
      <x:c r="K57" s="41" t="b">
        <x:v>1</x:v>
      </x:c>
      <x:c r="L57" s="27" t="str">
        <x:v>Rascunho sintético conferido antes de qualquer envio.</x:v>
      </x:c>
    </x:row>
    <x:row r="58">
      <x:c r="A58" s="18" t="str">
        <x:v>PR057</x:v>
      </x:c>
      <x:c r="B58" s="18" t="str">
        <x:v>CT057</x:v>
      </x:c>
      <x:c r="C58" s="21" t="n">
        <x:v>46159.5</x:v>
      </x:c>
      <x:c r="D58" s="18" t="str">
        <x:v>Elétrica leve</x:v>
      </x:c>
      <x:c r="E58" s="45"/>
      <x:c r="F58" s="40" t="n">
        <x:v>46160.5</x:v>
      </x:c>
      <x:c r="G58" s="45" t="n">
        <x:f>MAX(0,INT(DATE(2026,5,31)-C58))</x:f>
        <x:v>13</x:v>
      </x:c>
      <x:c r="H58" s="40" t="n">
        <x:v>46162.5</x:v>
      </x:c>
      <x:c r="I58" s="48" t="n">
        <x:f>IF(AND(G58&gt;=5,H58=""),1,0)</x:f>
        <x:v>0</x:v>
      </x:c>
      <x:c r="J58" s="24" t="str">
        <x:v>Encerrada</x:v>
      </x:c>
      <x:c r="K58" s="41" t="b">
        <x:v>1</x:v>
      </x:c>
      <x:c r="L58" s="27" t="str">
        <x:v>Rascunho sintético conferido antes de qualquer envio.</x:v>
      </x:c>
    </x:row>
    <x:row r="59">
      <x:c r="A59" s="18" t="str">
        <x:v>PR058</x:v>
      </x:c>
      <x:c r="B59" s="18" t="str">
        <x:v>CT058</x:v>
      </x:c>
      <x:c r="C59" s="21" t="n">
        <x:v>46160.541666666664</x:v>
      </x:c>
      <x:c r="D59" s="18" t="str">
        <x:v>Climatização</x:v>
      </x:c>
      <x:c r="E59" s="45"/>
      <x:c r="F59" s="40" t="n">
        <x:v>46161.541666666664</x:v>
      </x:c>
      <x:c r="G59" s="45" t="n">
        <x:f>MAX(0,INT(DATE(2026,5,31)-C59))</x:f>
        <x:v>12</x:v>
      </x:c>
      <x:c r="H59" s="40" t="n">
        <x:v>46163.541666666664</x:v>
      </x:c>
      <x:c r="I59" s="48" t="n">
        <x:f>IF(AND(G59&gt;=5,H59=""),1,0)</x:f>
        <x:v>0</x:v>
      </x:c>
      <x:c r="J59" s="24" t="str">
        <x:v>Acompanhada</x:v>
      </x:c>
      <x:c r="K59" s="41" t="b">
        <x:v>1</x:v>
      </x:c>
      <x:c r="L59" s="27" t="str">
        <x:v>Rascunho sintético conferido antes de qualquer envio.</x:v>
      </x:c>
    </x:row>
    <x:row r="60">
      <x:c r="A60" s="18" t="str">
        <x:v>PR059</x:v>
      </x:c>
      <x:c r="B60" s="18" t="str">
        <x:v>CT059</x:v>
      </x:c>
      <x:c r="C60" s="21" t="n">
        <x:v>46161.583333333336</x:v>
      </x:c>
      <x:c r="D60" s="18" t="str">
        <x:v>Refrigeração</x:v>
      </x:c>
      <x:c r="E60" s="45"/>
      <x:c r="F60" s="40" t="n">
        <x:v>46162.583333333336</x:v>
      </x:c>
      <x:c r="G60" s="45" t="n">
        <x:f>MAX(0,INT(DATE(2026,5,31)-C60))</x:f>
        <x:v>11</x:v>
      </x:c>
      <x:c r="H60" s="40" t="n">
        <x:v>46164.583333333336</x:v>
      </x:c>
      <x:c r="I60" s="48" t="n">
        <x:f>IF(AND(G60&gt;=5,H60=""),1,0)</x:f>
        <x:v>0</x:v>
      </x:c>
      <x:c r="J60" s="24" t="str">
        <x:v>Aceita</x:v>
      </x:c>
      <x:c r="K60" s="41" t="b">
        <x:v>1</x:v>
      </x:c>
      <x:c r="L60" s="27" t="str">
        <x:v>Rascunho sintético conferido antes de qualquer envio.</x:v>
      </x:c>
    </x:row>
    <x:row r="61">
      <x:c r="A61" s="18" t="str">
        <x:v>PR060</x:v>
      </x:c>
      <x:c r="B61" s="18" t="str">
        <x:v>CT060</x:v>
      </x:c>
      <x:c r="C61" s="21" t="n">
        <x:v>46162.625</x:v>
      </x:c>
      <x:c r="D61" s="18" t="str">
        <x:v>Hidráulica leve</x:v>
      </x:c>
      <x:c r="E61" s="45"/>
      <x:c r="F61" s="40" t="n">
        <x:v>46163.625</x:v>
      </x:c>
      <x:c r="G61" s="45" t="n">
        <x:f>MAX(0,INT(DATE(2026,5,31)-C61))</x:f>
        <x:v>10</x:v>
      </x:c>
      <x:c r="H61" s="40" t="n">
        <x:v>46165.625</x:v>
      </x:c>
      <x:c r="I61" s="48" t="n">
        <x:f>IF(AND(G61&gt;=5,H61=""),1,0)</x:f>
        <x:v>0</x:v>
      </x:c>
      <x:c r="J61" s="24" t="str">
        <x:v>Encerrada</x:v>
      </x:c>
      <x:c r="K61" s="41" t="b">
        <x:v>1</x:v>
      </x:c>
      <x:c r="L61" s="27" t="str">
        <x:v>Rascunho sintético conferido antes de qualquer envio.</x:v>
      </x:c>
    </x:row>
    <x:row r="62">
      <x:c r="A62" s="18" t="str">
        <x:v>PR061</x:v>
      </x:c>
      <x:c r="B62" s="18" t="str">
        <x:v>CT061</x:v>
      </x:c>
      <x:c r="C62" s="21" t="n">
        <x:v>46143.416666666664</x:v>
      </x:c>
      <x:c r="D62" s="18" t="str">
        <x:v>Elétrica leve</x:v>
      </x:c>
      <x:c r="E62" s="45"/>
      <x:c r="F62" s="40" t="n">
        <x:v>46144.416666666664</x:v>
      </x:c>
      <x:c r="G62" s="45" t="n">
        <x:f>MAX(0,INT(DATE(2026,5,31)-C62))</x:f>
        <x:v>29</x:v>
      </x:c>
      <x:c r="H62" s="40" t="n">
        <x:v>46146.416666666664</x:v>
      </x:c>
      <x:c r="I62" s="48" t="n">
        <x:f>IF(AND(G62&gt;=5,H62=""),1,0)</x:f>
        <x:v>0</x:v>
      </x:c>
      <x:c r="J62" s="24" t="str">
        <x:v>Acompanhada</x:v>
      </x:c>
      <x:c r="K62" s="41" t="b">
        <x:v>1</x:v>
      </x:c>
      <x:c r="L62" s="27" t="str">
        <x:v>Rascunho sintético conferido antes de qualquer envio.</x:v>
      </x:c>
    </x:row>
    <x:row r="63">
      <x:c r="A63" s="18" t="str">
        <x:v>PR062</x:v>
      </x:c>
      <x:c r="B63" s="18" t="str">
        <x:v>CT062</x:v>
      </x:c>
      <x:c r="C63" s="21" t="n">
        <x:v>46144.458333333336</x:v>
      </x:c>
      <x:c r="D63" s="18" t="str">
        <x:v>Climatização</x:v>
      </x:c>
      <x:c r="E63" s="45"/>
      <x:c r="F63" s="40" t="n">
        <x:v>46145.458333333336</x:v>
      </x:c>
      <x:c r="G63" s="45" t="n">
        <x:f>MAX(0,INT(DATE(2026,5,31)-C63))</x:f>
        <x:v>28</x:v>
      </x:c>
      <x:c r="H63" s="40" t="n">
        <x:v>46147.458333333336</x:v>
      </x:c>
      <x:c r="I63" s="48" t="n">
        <x:f>IF(AND(G63&gt;=5,H63=""),1,0)</x:f>
        <x:v>0</x:v>
      </x:c>
      <x:c r="J63" s="24" t="str">
        <x:v>Aceita</x:v>
      </x:c>
      <x:c r="K63" s="41" t="b">
        <x:v>1</x:v>
      </x:c>
      <x:c r="L63" s="27" t="str">
        <x:v>Rascunho sintético conferido antes de qualquer envio.</x:v>
      </x:c>
    </x:row>
    <x:row r="64">
      <x:c r="A64" s="18" t="str">
        <x:v>PR063</x:v>
      </x:c>
      <x:c r="B64" s="18" t="str">
        <x:v>CT063</x:v>
      </x:c>
      <x:c r="C64" s="21" t="n">
        <x:v>46145.5</x:v>
      </x:c>
      <x:c r="D64" s="18" t="str">
        <x:v>Refrigeração</x:v>
      </x:c>
      <x:c r="E64" s="45"/>
      <x:c r="F64" s="40" t="n">
        <x:v>46146.5</x:v>
      </x:c>
      <x:c r="G64" s="45" t="n">
        <x:f>MAX(0,INT(DATE(2026,5,31)-C64))</x:f>
        <x:v>27</x:v>
      </x:c>
      <x:c r="H64" s="40" t="n">
        <x:v>46148.5</x:v>
      </x:c>
      <x:c r="I64" s="48" t="n">
        <x:f>IF(AND(G64&gt;=5,H64=""),1,0)</x:f>
        <x:v>0</x:v>
      </x:c>
      <x:c r="J64" s="24" t="str">
        <x:v>Encerrada</x:v>
      </x:c>
      <x:c r="K64" s="41" t="b">
        <x:v>1</x:v>
      </x:c>
      <x:c r="L64" s="27" t="str">
        <x:v>Rascunho sintético conferido antes de qualquer envio.</x:v>
      </x:c>
    </x:row>
    <x:row r="65">
      <x:c r="A65" s="18" t="str">
        <x:v>PR064</x:v>
      </x:c>
      <x:c r="B65" s="18" t="str">
        <x:v>CT064</x:v>
      </x:c>
      <x:c r="C65" s="21" t="n">
        <x:v>46146.541666666664</x:v>
      </x:c>
      <x:c r="D65" s="18" t="str">
        <x:v>Hidráulica leve</x:v>
      </x:c>
      <x:c r="E65" s="45"/>
      <x:c r="F65" s="40" t="n">
        <x:v>46147.541666666664</x:v>
      </x:c>
      <x:c r="G65" s="45" t="n">
        <x:f>MAX(0,INT(DATE(2026,5,31)-C65))</x:f>
        <x:v>26</x:v>
      </x:c>
      <x:c r="H65" s="40" t="n">
        <x:v>46149.541666666664</x:v>
      </x:c>
      <x:c r="I65" s="48" t="n">
        <x:f>IF(AND(G65&gt;=5,H65=""),1,0)</x:f>
        <x:v>0</x:v>
      </x:c>
      <x:c r="J65" s="24" t="str">
        <x:v>Acompanhada</x:v>
      </x:c>
      <x:c r="K65" s="41" t="b">
        <x:v>1</x:v>
      </x:c>
      <x:c r="L65" s="27" t="str">
        <x:v>Rascunho sintético conferido antes de qualquer envio.</x:v>
      </x:c>
    </x:row>
    <x:row r="66">
      <x:c r="A66" s="18" t="str">
        <x:v>PR065</x:v>
      </x:c>
      <x:c r="B66" s="18" t="str">
        <x:v>CT065</x:v>
      </x:c>
      <x:c r="C66" s="21" t="n">
        <x:v>46147.583333333336</x:v>
      </x:c>
      <x:c r="D66" s="18" t="str">
        <x:v>Elétrica leve</x:v>
      </x:c>
      <x:c r="E66" s="45"/>
      <x:c r="F66" s="40" t="n">
        <x:v>46148.583333333336</x:v>
      </x:c>
      <x:c r="G66" s="45" t="n">
        <x:f>MAX(0,INT(DATE(2026,5,31)-C66))</x:f>
        <x:v>25</x:v>
      </x:c>
      <x:c r="H66" s="40" t="n">
        <x:v>46150.583333333336</x:v>
      </x:c>
      <x:c r="I66" s="48" t="n">
        <x:f>IF(AND(G66&gt;=5,H66=""),1,0)</x:f>
        <x:v>0</x:v>
      </x:c>
      <x:c r="J66" s="24" t="str">
        <x:v>Aceita</x:v>
      </x:c>
      <x:c r="K66" s="41" t="b">
        <x:v>1</x:v>
      </x:c>
      <x:c r="L66" s="27" t="str">
        <x:v>Rascunho sintético conferido antes de qualquer envio.</x:v>
      </x:c>
    </x:row>
    <x:row r="67">
      <x:c r="A67" s="18" t="str">
        <x:v>PR066</x:v>
      </x:c>
      <x:c r="B67" s="18" t="str">
        <x:v>CT066</x:v>
      </x:c>
      <x:c r="C67" s="21" t="n">
        <x:v>46148.625</x:v>
      </x:c>
      <x:c r="D67" s="18" t="str">
        <x:v>Climatização</x:v>
      </x:c>
      <x:c r="E67" s="45"/>
      <x:c r="F67" s="40" t="n">
        <x:v>46149.625</x:v>
      </x:c>
      <x:c r="G67" s="45" t="n">
        <x:f>MAX(0,INT(DATE(2026,5,31)-C67))</x:f>
        <x:v>24</x:v>
      </x:c>
      <x:c r="H67" s="40" t="n">
        <x:v>46151.625</x:v>
      </x:c>
      <x:c r="I67" s="48" t="n">
        <x:f>IF(AND(G67&gt;=5,H67=""),1,0)</x:f>
        <x:v>0</x:v>
      </x:c>
      <x:c r="J67" s="24" t="str">
        <x:v>Encerrada</x:v>
      </x:c>
      <x:c r="K67" s="41" t="b">
        <x:v>1</x:v>
      </x:c>
      <x:c r="L67" s="27" t="str">
        <x:v>Rascunho sintético conferido antes de qualquer envio.</x:v>
      </x:c>
    </x:row>
    <x:row r="68">
      <x:c r="A68" s="18" t="str">
        <x:v>PR067</x:v>
      </x:c>
      <x:c r="B68" s="18" t="str">
        <x:v>CT067</x:v>
      </x:c>
      <x:c r="C68" s="21" t="n">
        <x:v>46149.416666666664</x:v>
      </x:c>
      <x:c r="D68" s="18" t="str">
        <x:v>Refrigeração</x:v>
      </x:c>
      <x:c r="E68" s="45"/>
      <x:c r="F68" s="40" t="n">
        <x:v>46150.416666666664</x:v>
      </x:c>
      <x:c r="G68" s="45" t="n">
        <x:f>MAX(0,INT(DATE(2026,5,31)-C68))</x:f>
        <x:v>23</x:v>
      </x:c>
      <x:c r="H68" s="40" t="n">
        <x:v>46152.416666666664</x:v>
      </x:c>
      <x:c r="I68" s="48" t="n">
        <x:f>IF(AND(G68&gt;=5,H68=""),1,0)</x:f>
        <x:v>0</x:v>
      </x:c>
      <x:c r="J68" s="24" t="str">
        <x:v>Acompanhada</x:v>
      </x:c>
      <x:c r="K68" s="41" t="b">
        <x:v>1</x:v>
      </x:c>
      <x:c r="L68" s="27" t="str">
        <x:v>Rascunho sintético conferido antes de qualquer envio.</x:v>
      </x:c>
    </x:row>
    <x:row r="69">
      <x:c r="A69" s="18" t="str">
        <x:v>PR068</x:v>
      </x:c>
      <x:c r="B69" s="18" t="str">
        <x:v>CT068</x:v>
      </x:c>
      <x:c r="C69" s="21" t="n">
        <x:v>46150.458333333336</x:v>
      </x:c>
      <x:c r="D69" s="18" t="str">
        <x:v>Hidráulica leve</x:v>
      </x:c>
      <x:c r="E69" s="45"/>
      <x:c r="F69" s="40" t="n">
        <x:v>46151.458333333336</x:v>
      </x:c>
      <x:c r="G69" s="45" t="n">
        <x:f>MAX(0,INT(DATE(2026,5,31)-C69))</x:f>
        <x:v>22</x:v>
      </x:c>
      <x:c r="H69" s="40" t="n">
        <x:v>46153.458333333336</x:v>
      </x:c>
      <x:c r="I69" s="48" t="n">
        <x:f>IF(AND(G69&gt;=5,H69=""),1,0)</x:f>
        <x:v>0</x:v>
      </x:c>
      <x:c r="J69" s="24" t="str">
        <x:v>Aceita</x:v>
      </x:c>
      <x:c r="K69" s="41" t="b">
        <x:v>1</x:v>
      </x:c>
      <x:c r="L69" s="27" t="str">
        <x:v>Rascunho sintético conferido antes de qualquer envio.</x:v>
      </x:c>
    </x:row>
    <x:row r="70">
      <x:c r="A70" s="18" t="str">
        <x:v>PR069</x:v>
      </x:c>
      <x:c r="B70" s="18" t="str">
        <x:v>CT069</x:v>
      </x:c>
      <x:c r="C70" s="21" t="n">
        <x:v>46151.5</x:v>
      </x:c>
      <x:c r="D70" s="18" t="str">
        <x:v>Elétrica leve</x:v>
      </x:c>
      <x:c r="E70" s="45"/>
      <x:c r="F70" s="40" t="n">
        <x:v>46152.5</x:v>
      </x:c>
      <x:c r="G70" s="45" t="n">
        <x:f>MAX(0,INT(DATE(2026,5,31)-C70))</x:f>
        <x:v>21</x:v>
      </x:c>
      <x:c r="H70" s="40" t="n">
        <x:v>46154.5</x:v>
      </x:c>
      <x:c r="I70" s="48" t="n">
        <x:f>IF(AND(G70&gt;=5,H70=""),1,0)</x:f>
        <x:v>0</x:v>
      </x:c>
      <x:c r="J70" s="24" t="str">
        <x:v>Encerrada</x:v>
      </x:c>
      <x:c r="K70" s="41" t="b">
        <x:v>1</x:v>
      </x:c>
      <x:c r="L70" s="27" t="str">
        <x:v>Rascunho sintético conferido antes de qualquer envio.</x:v>
      </x:c>
    </x:row>
    <x:row r="71">
      <x:c r="A71" s="18" t="str">
        <x:v>PR070</x:v>
      </x:c>
      <x:c r="B71" s="18" t="str">
        <x:v>CT070</x:v>
      </x:c>
      <x:c r="C71" s="21" t="n">
        <x:v>46152.541666666664</x:v>
      </x:c>
      <x:c r="D71" s="18" t="str">
        <x:v>Climatização</x:v>
      </x:c>
      <x:c r="E71" s="45"/>
      <x:c r="F71" s="40" t="n">
        <x:v>46153.541666666664</x:v>
      </x:c>
      <x:c r="G71" s="45" t="n">
        <x:f>MAX(0,INT(DATE(2026,5,31)-C71))</x:f>
        <x:v>20</x:v>
      </x:c>
      <x:c r="H71" s="40" t="n">
        <x:v>46155.541666666664</x:v>
      </x:c>
      <x:c r="I71" s="48" t="n">
        <x:f>IF(AND(G71&gt;=5,H71=""),1,0)</x:f>
        <x:v>0</x:v>
      </x:c>
      <x:c r="J71" s="24" t="str">
        <x:v>Acompanhada</x:v>
      </x:c>
      <x:c r="K71" s="41" t="b">
        <x:v>1</x:v>
      </x:c>
      <x:c r="L71" s="27" t="str">
        <x:v>Rascunho sintético conferido antes de qualquer envio.</x:v>
      </x:c>
    </x:row>
    <x:row r="72">
      <x:c r="A72" s="18" t="str">
        <x:v>PR071</x:v>
      </x:c>
      <x:c r="B72" s="18" t="str">
        <x:v>CT071</x:v>
      </x:c>
      <x:c r="C72" s="21" t="n">
        <x:v>46153.583333333336</x:v>
      </x:c>
      <x:c r="D72" s="18" t="str">
        <x:v>Refrigeração</x:v>
      </x:c>
      <x:c r="E72" s="45"/>
      <x:c r="F72" s="40" t="n">
        <x:v>46154.583333333336</x:v>
      </x:c>
      <x:c r="G72" s="45" t="n">
        <x:f>MAX(0,INT(DATE(2026,5,31)-C72))</x:f>
        <x:v>19</x:v>
      </x:c>
      <x:c r="H72" s="40" t="n">
        <x:v>46156.583333333336</x:v>
      </x:c>
      <x:c r="I72" s="48" t="n">
        <x:f>IF(AND(G72&gt;=5,H72=""),1,0)</x:f>
        <x:v>0</x:v>
      </x:c>
      <x:c r="J72" s="24" t="str">
        <x:v>Aceita</x:v>
      </x:c>
      <x:c r="K72" s="41" t="b">
        <x:v>1</x:v>
      </x:c>
      <x:c r="L72" s="27" t="str">
        <x:v>Rascunho sintético conferido antes de qualquer envio.</x:v>
      </x:c>
    </x:row>
    <x:row r="73">
      <x:c r="A73" s="18" t="str">
        <x:v>PR072</x:v>
      </x:c>
      <x:c r="B73" s="18" t="str">
        <x:v>CT072</x:v>
      </x:c>
      <x:c r="C73" s="21" t="n">
        <x:v>46154.625</x:v>
      </x:c>
      <x:c r="D73" s="18" t="str">
        <x:v>Hidráulica leve</x:v>
      </x:c>
      <x:c r="E73" s="45"/>
      <x:c r="F73" s="40" t="n">
        <x:v>46155.625</x:v>
      </x:c>
      <x:c r="G73" s="45" t="n">
        <x:f>MAX(0,INT(DATE(2026,5,31)-C73))</x:f>
        <x:v>18</x:v>
      </x:c>
      <x:c r="H73" s="40" t="n">
        <x:v>46157.625</x:v>
      </x:c>
      <x:c r="I73" s="48" t="n">
        <x:f>IF(AND(G73&gt;=5,H73=""),1,0)</x:f>
        <x:v>0</x:v>
      </x:c>
      <x:c r="J73" s="24" t="str">
        <x:v>Encerrada</x:v>
      </x:c>
      <x:c r="K73" s="41" t="b">
        <x:v>1</x:v>
      </x:c>
      <x:c r="L73" s="27" t="str">
        <x:v>Rascunho sintético conferido antes de qualquer envio.</x:v>
      </x:c>
    </x:row>
    <x:row r="74">
      <x:c r="A74" s="18" t="str">
        <x:v>PR073</x:v>
      </x:c>
      <x:c r="B74" s="18" t="str">
        <x:v>CT073</x:v>
      </x:c>
      <x:c r="C74" s="21" t="n">
        <x:v>46155.416666666664</x:v>
      </x:c>
      <x:c r="D74" s="18" t="str">
        <x:v>Elétrica leve</x:v>
      </x:c>
      <x:c r="E74" s="45"/>
      <x:c r="F74" s="40" t="n">
        <x:v>46156.416666666664</x:v>
      </x:c>
      <x:c r="G74" s="45" t="n">
        <x:f>MAX(0,INT(DATE(2026,5,31)-C74))</x:f>
        <x:v>17</x:v>
      </x:c>
      <x:c r="H74" s="40" t="n">
        <x:v>46158.416666666664</x:v>
      </x:c>
      <x:c r="I74" s="48" t="n">
        <x:f>IF(AND(G74&gt;=5,H74=""),1,0)</x:f>
        <x:v>0</x:v>
      </x:c>
      <x:c r="J74" s="24" t="str">
        <x:v>Acompanhada</x:v>
      </x:c>
      <x:c r="K74" s="41" t="b">
        <x:v>1</x:v>
      </x:c>
      <x:c r="L74" s="27" t="str">
        <x:v>Rascunho sintético conferido antes de qualquer envio.</x:v>
      </x:c>
    </x:row>
    <x:row r="75">
      <x:c r="A75" s="18" t="str">
        <x:v>PR074</x:v>
      </x:c>
      <x:c r="B75" s="18" t="str">
        <x:v>CT074</x:v>
      </x:c>
      <x:c r="C75" s="21" t="n">
        <x:v>46156.458333333336</x:v>
      </x:c>
      <x:c r="D75" s="18" t="str">
        <x:v>Climatização</x:v>
      </x:c>
      <x:c r="E75" s="45"/>
      <x:c r="F75" s="40" t="n">
        <x:v>46157.458333333336</x:v>
      </x:c>
      <x:c r="G75" s="45" t="n">
        <x:f>MAX(0,INT(DATE(2026,5,31)-C75))</x:f>
        <x:v>16</x:v>
      </x:c>
      <x:c r="H75" s="40" t="n">
        <x:v>46159.458333333336</x:v>
      </x:c>
      <x:c r="I75" s="48" t="n">
        <x:f>IF(AND(G75&gt;=5,H75=""),1,0)</x:f>
        <x:v>0</x:v>
      </x:c>
      <x:c r="J75" s="24" t="str">
        <x:v>Aceita</x:v>
      </x:c>
      <x:c r="K75" s="41" t="b">
        <x:v>1</x:v>
      </x:c>
      <x:c r="L75" s="27" t="str">
        <x:v>Rascunho sintético conferido antes de qualquer envio.</x:v>
      </x:c>
    </x:row>
    <x:row r="76">
      <x:c r="A76" s="18" t="str">
        <x:v>PR075</x:v>
      </x:c>
      <x:c r="B76" s="18" t="str">
        <x:v>CT075</x:v>
      </x:c>
      <x:c r="C76" s="21" t="n">
        <x:v>46157.5</x:v>
      </x:c>
      <x:c r="D76" s="18" t="str">
        <x:v>Refrigeração</x:v>
      </x:c>
      <x:c r="E76" s="45"/>
      <x:c r="F76" s="40" t="n">
        <x:v>46158.5</x:v>
      </x:c>
      <x:c r="G76" s="45" t="n">
        <x:f>MAX(0,INT(DATE(2026,5,31)-C76))</x:f>
        <x:v>15</x:v>
      </x:c>
      <x:c r="H76" s="40" t="n">
        <x:v>46160.5</x:v>
      </x:c>
      <x:c r="I76" s="48" t="n">
        <x:f>IF(AND(G76&gt;=5,H76=""),1,0)</x:f>
        <x:v>0</x:v>
      </x:c>
      <x:c r="J76" s="24" t="str">
        <x:v>Encerrada</x:v>
      </x:c>
      <x:c r="K76" s="41" t="b">
        <x:v>1</x:v>
      </x:c>
      <x:c r="L76" s="27" t="str">
        <x:v>Rascunho sintético conferido antes de qualquer envio.</x:v>
      </x:c>
    </x:row>
    <x:row r="77">
      <x:c r="A77" s="18" t="str">
        <x:v>PR076</x:v>
      </x:c>
      <x:c r="B77" s="18" t="str">
        <x:v>CT076</x:v>
      </x:c>
      <x:c r="C77" s="21" t="n">
        <x:v>46158.541666666664</x:v>
      </x:c>
      <x:c r="D77" s="18" t="str">
        <x:v>Hidráulica leve</x:v>
      </x:c>
      <x:c r="E77" s="45"/>
      <x:c r="F77" s="40" t="n">
        <x:v>46159.541666666664</x:v>
      </x:c>
      <x:c r="G77" s="45" t="n">
        <x:f>MAX(0,INT(DATE(2026,5,31)-C77))</x:f>
        <x:v>14</x:v>
      </x:c>
      <x:c r="H77" s="40" t="n">
        <x:v>46161.541666666664</x:v>
      </x:c>
      <x:c r="I77" s="48" t="n">
        <x:f>IF(AND(G77&gt;=5,H77=""),1,0)</x:f>
        <x:v>0</x:v>
      </x:c>
      <x:c r="J77" s="24" t="str">
        <x:v>Acompanhada</x:v>
      </x:c>
      <x:c r="K77" s="41" t="b">
        <x:v>1</x:v>
      </x:c>
      <x:c r="L77" s="27" t="str">
        <x:v>Rascunho sintético conferido antes de qualquer envio.</x:v>
      </x:c>
    </x:row>
    <x:row r="78">
      <x:c r="A78" s="18" t="str">
        <x:v>PR077</x:v>
      </x:c>
      <x:c r="B78" s="18" t="str">
        <x:v>CT077</x:v>
      </x:c>
      <x:c r="C78" s="21" t="n">
        <x:v>46159.583333333336</x:v>
      </x:c>
      <x:c r="D78" s="18" t="str">
        <x:v>Elétrica leve</x:v>
      </x:c>
      <x:c r="E78" s="45"/>
      <x:c r="F78" s="40" t="n">
        <x:v>46160.583333333336</x:v>
      </x:c>
      <x:c r="G78" s="45" t="n">
        <x:f>MAX(0,INT(DATE(2026,5,31)-C78))</x:f>
        <x:v>13</x:v>
      </x:c>
      <x:c r="H78" s="40" t="n">
        <x:v>46162.583333333336</x:v>
      </x:c>
      <x:c r="I78" s="48" t="n">
        <x:f>IF(AND(G78&gt;=5,H78=""),1,0)</x:f>
        <x:v>0</x:v>
      </x:c>
      <x:c r="J78" s="24" t="str">
        <x:v>Aceita</x:v>
      </x:c>
      <x:c r="K78" s="41" t="b">
        <x:v>1</x:v>
      </x:c>
      <x:c r="L78" s="27" t="str">
        <x:v>Rascunho sintético conferido antes de qualquer envio.</x:v>
      </x:c>
    </x:row>
    <x:row r="79">
      <x:c r="A79" s="18" t="str">
        <x:v>PR078</x:v>
      </x:c>
      <x:c r="B79" s="18" t="str">
        <x:v>CT078</x:v>
      </x:c>
      <x:c r="C79" s="21" t="n">
        <x:v>46160.625</x:v>
      </x:c>
      <x:c r="D79" s="18" t="str">
        <x:v>Climatização</x:v>
      </x:c>
      <x:c r="E79" s="45"/>
      <x:c r="F79" s="40" t="n">
        <x:v>46161.625</x:v>
      </x:c>
      <x:c r="G79" s="45" t="n">
        <x:f>MAX(0,INT(DATE(2026,5,31)-C79))</x:f>
        <x:v>12</x:v>
      </x:c>
      <x:c r="H79" s="40" t="n">
        <x:v>46163.625</x:v>
      </x:c>
      <x:c r="I79" s="48" t="n">
        <x:f>IF(AND(G79&gt;=5,H79=""),1,0)</x:f>
        <x:v>0</x:v>
      </x:c>
      <x:c r="J79" s="24" t="str">
        <x:v>Encerrada</x:v>
      </x:c>
      <x:c r="K79" s="41" t="b">
        <x:v>1</x:v>
      </x:c>
      <x:c r="L79" s="27" t="str">
        <x:v>Rascunho sintético conferido antes de qualquer envio.</x:v>
      </x:c>
    </x:row>
    <x:row r="80">
      <x:c r="A80" s="18" t="str">
        <x:v>PR079</x:v>
      </x:c>
      <x:c r="B80" s="18" t="str">
        <x:v>CT079</x:v>
      </x:c>
      <x:c r="C80" s="21" t="n">
        <x:v>46161.416666666664</x:v>
      </x:c>
      <x:c r="D80" s="18" t="str">
        <x:v>Refrigeração</x:v>
      </x:c>
      <x:c r="E80" s="45"/>
      <x:c r="F80" s="40" t="n">
        <x:v>46162.416666666664</x:v>
      </x:c>
      <x:c r="G80" s="45" t="n">
        <x:f>MAX(0,INT(DATE(2026,5,31)-C80))</x:f>
        <x:v>11</x:v>
      </x:c>
      <x:c r="H80" s="40" t="n">
        <x:v>46164.416666666664</x:v>
      </x:c>
      <x:c r="I80" s="48" t="n">
        <x:f>IF(AND(G80&gt;=5,H80=""),1,0)</x:f>
        <x:v>0</x:v>
      </x:c>
      <x:c r="J80" s="24" t="str">
        <x:v>Acompanhada</x:v>
      </x:c>
      <x:c r="K80" s="41" t="b">
        <x:v>1</x:v>
      </x:c>
      <x:c r="L80" s="27" t="str">
        <x:v>Rascunho sintético conferido antes de qualquer envio.</x:v>
      </x:c>
    </x:row>
    <x:row r="81">
      <x:c r="A81" s="18" t="str">
        <x:v>PR080</x:v>
      </x:c>
      <x:c r="B81" s="18" t="str">
        <x:v>CT080</x:v>
      </x:c>
      <x:c r="C81" s="21" t="n">
        <x:v>46162.458333333336</x:v>
      </x:c>
      <x:c r="D81" s="18" t="str">
        <x:v>Hidráulica leve</x:v>
      </x:c>
      <x:c r="E81" s="45"/>
      <x:c r="F81" s="40" t="n">
        <x:v>46163.458333333336</x:v>
      </x:c>
      <x:c r="G81" s="45" t="n">
        <x:f>MAX(0,INT(DATE(2026,5,31)-C81))</x:f>
        <x:v>10</x:v>
      </x:c>
      <x:c r="H81" s="40" t="n">
        <x:v>46165.458333333336</x:v>
      </x:c>
      <x:c r="I81" s="48" t="n">
        <x:f>IF(AND(G81&gt;=5,H81=""),1,0)</x:f>
        <x:v>0</x:v>
      </x:c>
      <x:c r="J81" s="24" t="str">
        <x:v>Aceita</x:v>
      </x:c>
      <x:c r="K81" s="41" t="b">
        <x:v>1</x:v>
      </x:c>
      <x:c r="L81" s="27" t="str">
        <x:v>Rascunho sintético conferido antes de qualquer envio.</x:v>
      </x:c>
    </x:row>
    <x:row r="82">
      <x:c r="A82" s="18" t="str">
        <x:v>PR081</x:v>
      </x:c>
      <x:c r="B82" s="18" t="str">
        <x:v>CT081</x:v>
      </x:c>
      <x:c r="C82" s="21" t="n">
        <x:v>46143.5</x:v>
      </x:c>
      <x:c r="D82" s="18" t="str">
        <x:v>Elétrica leve</x:v>
      </x:c>
      <x:c r="E82" s="45"/>
      <x:c r="F82" s="40" t="n">
        <x:v>46144.5</x:v>
      </x:c>
      <x:c r="G82" s="45" t="n">
        <x:f>MAX(0,INT(DATE(2026,5,31)-C82))</x:f>
        <x:v>29</x:v>
      </x:c>
      <x:c r="H82" s="40" t="n">
        <x:v>46146.5</x:v>
      </x:c>
      <x:c r="I82" s="48" t="n">
        <x:f>IF(AND(G82&gt;=5,H82=""),1,0)</x:f>
        <x:v>0</x:v>
      </x:c>
      <x:c r="J82" s="24" t="str">
        <x:v>Encerrada</x:v>
      </x:c>
      <x:c r="K82" s="41" t="b">
        <x:v>1</x:v>
      </x:c>
      <x:c r="L82" s="27" t="str">
        <x:v>Rascunho sintético conferido antes de qualquer envio.</x:v>
      </x:c>
    </x:row>
    <x:row r="83">
      <x:c r="A83" s="18" t="str">
        <x:v>PR082</x:v>
      </x:c>
      <x:c r="B83" s="18" t="str">
        <x:v>CT082</x:v>
      </x:c>
      <x:c r="C83" s="21" t="n">
        <x:v>46144.541666666664</x:v>
      </x:c>
      <x:c r="D83" s="18" t="str">
        <x:v>Climatização</x:v>
      </x:c>
      <x:c r="E83" s="45"/>
      <x:c r="F83" s="40" t="n">
        <x:v>46145.541666666664</x:v>
      </x:c>
      <x:c r="G83" s="45" t="n">
        <x:f>MAX(0,INT(DATE(2026,5,31)-C83))</x:f>
        <x:v>28</x:v>
      </x:c>
      <x:c r="H83" s="40" t="n">
        <x:v>46147.541666666664</x:v>
      </x:c>
      <x:c r="I83" s="48" t="n">
        <x:f>IF(AND(G83&gt;=5,H83=""),1,0)</x:f>
        <x:v>0</x:v>
      </x:c>
      <x:c r="J83" s="24" t="str">
        <x:v>Acompanhada</x:v>
      </x:c>
      <x:c r="K83" s="41" t="b">
        <x:v>1</x:v>
      </x:c>
      <x:c r="L83" s="27" t="str">
        <x:v>Rascunho sintético conferido antes de qualquer envio.</x:v>
      </x:c>
    </x:row>
    <x:row r="84">
      <x:c r="A84" s="18" t="str">
        <x:v>PR083</x:v>
      </x:c>
      <x:c r="B84" s="18" t="str">
        <x:v>CT083</x:v>
      </x:c>
      <x:c r="C84" s="21" t="n">
        <x:v>46145.583333333336</x:v>
      </x:c>
      <x:c r="D84" s="18" t="str">
        <x:v>Refrigeração</x:v>
      </x:c>
      <x:c r="E84" s="45"/>
      <x:c r="F84" s="40" t="n">
        <x:v>46146.583333333336</x:v>
      </x:c>
      <x:c r="G84" s="45" t="n">
        <x:f>MAX(0,INT(DATE(2026,5,31)-C84))</x:f>
        <x:v>27</x:v>
      </x:c>
      <x:c r="H84" s="40" t="n">
        <x:v>46148.583333333336</x:v>
      </x:c>
      <x:c r="I84" s="48" t="n">
        <x:f>IF(AND(G84&gt;=5,H84=""),1,0)</x:f>
        <x:v>0</x:v>
      </x:c>
      <x:c r="J84" s="24" t="str">
        <x:v>Aceita</x:v>
      </x:c>
      <x:c r="K84" s="41" t="b">
        <x:v>1</x:v>
      </x:c>
      <x:c r="L84" s="27" t="str">
        <x:v>Rascunho sintético conferido antes de qualquer envio.</x:v>
      </x:c>
    </x:row>
    <x:row r="85">
      <x:c r="A85" s="18" t="str">
        <x:v>PR084</x:v>
      </x:c>
      <x:c r="B85" s="18" t="str">
        <x:v>CT084</x:v>
      </x:c>
      <x:c r="C85" s="21" t="n">
        <x:v>46146.625</x:v>
      </x:c>
      <x:c r="D85" s="18" t="str">
        <x:v>Hidráulica leve</x:v>
      </x:c>
      <x:c r="E85" s="45"/>
      <x:c r="F85" s="40" t="n">
        <x:v>46147.625</x:v>
      </x:c>
      <x:c r="G85" s="45" t="n">
        <x:f>MAX(0,INT(DATE(2026,5,31)-C85))</x:f>
        <x:v>26</x:v>
      </x:c>
      <x:c r="H85" s="40" t="n">
        <x:v>46149.625</x:v>
      </x:c>
      <x:c r="I85" s="48" t="n">
        <x:f>IF(AND(G85&gt;=5,H85=""),1,0)</x:f>
        <x:v>0</x:v>
      </x:c>
      <x:c r="J85" s="24" t="str">
        <x:v>Encerrada</x:v>
      </x:c>
      <x:c r="K85" s="41" t="b">
        <x:v>1</x:v>
      </x:c>
      <x:c r="L85" s="27" t="str">
        <x:v>Rascunho sintético conferido antes de qualquer envio.</x:v>
      </x:c>
    </x:row>
    <x:row r="86">
      <x:c r="A86" s="18" t="str">
        <x:v>PR085</x:v>
      </x:c>
      <x:c r="B86" s="18" t="str">
        <x:v>CT085</x:v>
      </x:c>
      <x:c r="C86" s="21" t="n">
        <x:v>46147.416666666664</x:v>
      </x:c>
      <x:c r="D86" s="18" t="str">
        <x:v>Elétrica leve</x:v>
      </x:c>
      <x:c r="E86" s="45"/>
      <x:c r="F86" s="40" t="n">
        <x:v>46148.416666666664</x:v>
      </x:c>
      <x:c r="G86" s="45" t="n">
        <x:f>MAX(0,INT(DATE(2026,5,31)-C86))</x:f>
        <x:v>25</x:v>
      </x:c>
      <x:c r="H86" s="40" t="n">
        <x:v>46150.416666666664</x:v>
      </x:c>
      <x:c r="I86" s="48" t="n">
        <x:f>IF(AND(G86&gt;=5,H86=""),1,0)</x:f>
        <x:v>0</x:v>
      </x:c>
      <x:c r="J86" s="24" t="str">
        <x:v>Acompanhada</x:v>
      </x:c>
      <x:c r="K86" s="41" t="b">
        <x:v>1</x:v>
      </x:c>
      <x:c r="L86" s="27" t="str">
        <x:v>Rascunho sintético conferido antes de qualquer envio.</x:v>
      </x:c>
    </x:row>
    <x:row r="87">
      <x:c r="A87" s="18" t="str">
        <x:v>PR086</x:v>
      </x:c>
      <x:c r="B87" s="18" t="str">
        <x:v>CT086</x:v>
      </x:c>
      <x:c r="C87" s="21" t="n">
        <x:v>46148.458333333336</x:v>
      </x:c>
      <x:c r="D87" s="18" t="str">
        <x:v>Climatização</x:v>
      </x:c>
      <x:c r="E87" s="45"/>
      <x:c r="F87" s="40" t="n">
        <x:v>46149.458333333336</x:v>
      </x:c>
      <x:c r="G87" s="45" t="n">
        <x:f>MAX(0,INT(DATE(2026,5,31)-C87))</x:f>
        <x:v>24</x:v>
      </x:c>
      <x:c r="H87" s="40" t="n">
        <x:v>46151.458333333336</x:v>
      </x:c>
      <x:c r="I87" s="48" t="n">
        <x:f>IF(AND(G87&gt;=5,H87=""),1,0)</x:f>
        <x:v>0</x:v>
      </x:c>
      <x:c r="J87" s="24" t="str">
        <x:v>Aceita</x:v>
      </x:c>
      <x:c r="K87" s="41" t="b">
        <x:v>1</x:v>
      </x:c>
      <x:c r="L87" s="27" t="str">
        <x:v>Rascunho sintético conferido antes de qualquer envio.</x:v>
      </x:c>
    </x:row>
    <x:row r="88">
      <x:c r="A88" s="18" t="str">
        <x:v>PR087</x:v>
      </x:c>
      <x:c r="B88" s="18" t="str">
        <x:v>CT087</x:v>
      </x:c>
      <x:c r="C88" s="21" t="n">
        <x:v>46149.5</x:v>
      </x:c>
      <x:c r="D88" s="18" t="str">
        <x:v>Refrigeração</x:v>
      </x:c>
      <x:c r="E88" s="45"/>
      <x:c r="F88" s="40" t="n">
        <x:v>46150.5</x:v>
      </x:c>
      <x:c r="G88" s="45" t="n">
        <x:f>MAX(0,INT(DATE(2026,5,31)-C88))</x:f>
        <x:v>23</x:v>
      </x:c>
      <x:c r="H88" s="40" t="n">
        <x:v>46152.5</x:v>
      </x:c>
      <x:c r="I88" s="48" t="n">
        <x:f>IF(AND(G88&gt;=5,H88=""),1,0)</x:f>
        <x:v>0</x:v>
      </x:c>
      <x:c r="J88" s="24" t="str">
        <x:v>Encerrada</x:v>
      </x:c>
      <x:c r="K88" s="41" t="b">
        <x:v>1</x:v>
      </x:c>
      <x:c r="L88" s="27" t="str">
        <x:v>Rascunho sintético conferido antes de qualquer envio.</x:v>
      </x:c>
    </x:row>
    <x:row r="89">
      <x:c r="A89" s="18" t="str">
        <x:v>PR088</x:v>
      </x:c>
      <x:c r="B89" s="18" t="str">
        <x:v>CT088</x:v>
      </x:c>
      <x:c r="C89" s="21" t="n">
        <x:v>46150.541666666664</x:v>
      </x:c>
      <x:c r="D89" s="18" t="str">
        <x:v>Hidráulica leve</x:v>
      </x:c>
      <x:c r="E89" s="45"/>
      <x:c r="F89" s="40" t="n">
        <x:v>46151.541666666664</x:v>
      </x:c>
      <x:c r="G89" s="45" t="n">
        <x:f>MAX(0,INT(DATE(2026,5,31)-C89))</x:f>
        <x:v>22</x:v>
      </x:c>
      <x:c r="H89" s="40" t="n">
        <x:v>46153.541666666664</x:v>
      </x:c>
      <x:c r="I89" s="48" t="n">
        <x:f>IF(AND(G89&gt;=5,H89=""),1,0)</x:f>
        <x:v>0</x:v>
      </x:c>
      <x:c r="J89" s="24" t="str">
        <x:v>Acompanhada</x:v>
      </x:c>
      <x:c r="K89" s="41" t="b">
        <x:v>1</x:v>
      </x:c>
      <x:c r="L89" s="27" t="str">
        <x:v>Rascunho sintético conferido antes de qualquer envio.</x:v>
      </x:c>
    </x:row>
    <x:row r="90">
      <x:c r="A90" s="18" t="str">
        <x:v>PR089</x:v>
      </x:c>
      <x:c r="B90" s="18" t="str">
        <x:v>CT089</x:v>
      </x:c>
      <x:c r="C90" s="21" t="n">
        <x:v>46151.583333333336</x:v>
      </x:c>
      <x:c r="D90" s="18" t="str">
        <x:v>Elétrica leve</x:v>
      </x:c>
      <x:c r="E90" s="45"/>
      <x:c r="F90" s="40" t="n">
        <x:v>46152.583333333336</x:v>
      </x:c>
      <x:c r="G90" s="45" t="n">
        <x:f>MAX(0,INT(DATE(2026,5,31)-C90))</x:f>
        <x:v>21</x:v>
      </x:c>
      <x:c r="H90" s="40" t="n">
        <x:v>46154.583333333336</x:v>
      </x:c>
      <x:c r="I90" s="48" t="n">
        <x:f>IF(AND(G90&gt;=5,H90=""),1,0)</x:f>
        <x:v>0</x:v>
      </x:c>
      <x:c r="J90" s="24" t="str">
        <x:v>Aceita</x:v>
      </x:c>
      <x:c r="K90" s="41" t="b">
        <x:v>1</x:v>
      </x:c>
      <x:c r="L90" s="27" t="str">
        <x:v>Rascunho sintético conferido antes de qualquer envio.</x:v>
      </x:c>
    </x:row>
    <x:row r="91">
      <x:c r="A91" s="18" t="str">
        <x:v>PR090</x:v>
      </x:c>
      <x:c r="B91" s="18" t="str">
        <x:v>CT090</x:v>
      </x:c>
      <x:c r="C91" s="21" t="n">
        <x:v>46152.625</x:v>
      </x:c>
      <x:c r="D91" s="18" t="str">
        <x:v>Climatização</x:v>
      </x:c>
      <x:c r="E91" s="45"/>
      <x:c r="F91" s="40" t="n">
        <x:v>46153.625</x:v>
      </x:c>
      <x:c r="G91" s="45" t="n">
        <x:f>MAX(0,INT(DATE(2026,5,31)-C91))</x:f>
        <x:v>20</x:v>
      </x:c>
      <x:c r="H91" s="40" t="n">
        <x:v>46155.625</x:v>
      </x:c>
      <x:c r="I91" s="48" t="n">
        <x:f>IF(AND(G91&gt;=5,H91=""),1,0)</x:f>
        <x:v>0</x:v>
      </x:c>
      <x:c r="J91" s="24" t="str">
        <x:v>Encerrada</x:v>
      </x:c>
      <x:c r="K91" s="41" t="b">
        <x:v>1</x:v>
      </x:c>
      <x:c r="L91" s="27" t="str">
        <x:v>Rascunho sintético conferido antes de qualquer envio.</x:v>
      </x:c>
    </x:row>
    <x:row r="92">
      <x:c r="A92" s="18" t="str">
        <x:v>PR091</x:v>
      </x:c>
      <x:c r="B92" s="18" t="str">
        <x:v>CT091</x:v>
      </x:c>
      <x:c r="C92" s="21" t="n">
        <x:v>46153.416666666664</x:v>
      </x:c>
      <x:c r="D92" s="18" t="str">
        <x:v>Refrigeração</x:v>
      </x:c>
      <x:c r="E92" s="45"/>
      <x:c r="F92" s="40" t="n">
        <x:v>46154.416666666664</x:v>
      </x:c>
      <x:c r="G92" s="45" t="n">
        <x:f>MAX(0,INT(DATE(2026,5,31)-C92))</x:f>
        <x:v>19</x:v>
      </x:c>
      <x:c r="H92" s="40" t="n">
        <x:v>46156.416666666664</x:v>
      </x:c>
      <x:c r="I92" s="48" t="n">
        <x:f>IF(AND(G92&gt;=5,H92=""),1,0)</x:f>
        <x:v>0</x:v>
      </x:c>
      <x:c r="J92" s="24" t="str">
        <x:v>Acompanhada</x:v>
      </x:c>
      <x:c r="K92" s="41" t="b">
        <x:v>1</x:v>
      </x:c>
      <x:c r="L92" s="27" t="str">
        <x:v>Rascunho sintético conferido antes de qualquer envio.</x:v>
      </x:c>
    </x:row>
    <x:row r="93">
      <x:c r="A93" s="18" t="str">
        <x:v>PR092</x:v>
      </x:c>
      <x:c r="B93" s="18" t="str">
        <x:v>CT092</x:v>
      </x:c>
      <x:c r="C93" s="21" t="n">
        <x:v>46154.458333333336</x:v>
      </x:c>
      <x:c r="D93" s="18" t="str">
        <x:v>Hidráulica leve</x:v>
      </x:c>
      <x:c r="E93" s="45"/>
      <x:c r="F93" s="40" t="n">
        <x:v>46155.458333333336</x:v>
      </x:c>
      <x:c r="G93" s="45" t="n">
        <x:f>MAX(0,INT(DATE(2026,5,31)-C93))</x:f>
        <x:v>18</x:v>
      </x:c>
      <x:c r="H93" s="40" t="n">
        <x:v>46157.458333333336</x:v>
      </x:c>
      <x:c r="I93" s="48" t="n">
        <x:f>IF(AND(G93&gt;=5,H93=""),1,0)</x:f>
        <x:v>0</x:v>
      </x:c>
      <x:c r="J93" s="24" t="str">
        <x:v>Aceita</x:v>
      </x:c>
      <x:c r="K93" s="41" t="b">
        <x:v>1</x:v>
      </x:c>
      <x:c r="L93" s="27" t="str">
        <x:v>Rascunho sintético conferido antes de qualquer envio.</x:v>
      </x:c>
    </x:row>
    <x:row r="94">
      <x:c r="A94" s="18" t="str">
        <x:v>PR093</x:v>
      </x:c>
      <x:c r="B94" s="18" t="str">
        <x:v>CT093</x:v>
      </x:c>
      <x:c r="C94" s="21" t="n">
        <x:v>46155.5</x:v>
      </x:c>
      <x:c r="D94" s="18" t="str">
        <x:v>Elétrica leve</x:v>
      </x:c>
      <x:c r="E94" s="45"/>
      <x:c r="F94" s="40" t="n">
        <x:v>46156.5</x:v>
      </x:c>
      <x:c r="G94" s="45" t="n">
        <x:f>MAX(0,INT(DATE(2026,5,31)-C94))</x:f>
        <x:v>17</x:v>
      </x:c>
      <x:c r="H94" s="40" t="n">
        <x:v>46158.5</x:v>
      </x:c>
      <x:c r="I94" s="48" t="n">
        <x:f>IF(AND(G94&gt;=5,H94=""),1,0)</x:f>
        <x:v>0</x:v>
      </x:c>
      <x:c r="J94" s="24" t="str">
        <x:v>Encerrada</x:v>
      </x:c>
      <x:c r="K94" s="41" t="b">
        <x:v>1</x:v>
      </x:c>
      <x:c r="L94" s="27" t="str">
        <x:v>Rascunho sintético conferido antes de qualquer envio.</x:v>
      </x:c>
    </x:row>
    <x:row r="95">
      <x:c r="A95" s="18" t="str">
        <x:v>PR094</x:v>
      </x:c>
      <x:c r="B95" s="18" t="str">
        <x:v>CT094</x:v>
      </x:c>
      <x:c r="C95" s="21" t="n">
        <x:v>46156.541666666664</x:v>
      </x:c>
      <x:c r="D95" s="18" t="str">
        <x:v>Climatização</x:v>
      </x:c>
      <x:c r="E95" s="45"/>
      <x:c r="F95" s="40" t="n">
        <x:v>46157.541666666664</x:v>
      </x:c>
      <x:c r="G95" s="45" t="n">
        <x:f>MAX(0,INT(DATE(2026,5,31)-C95))</x:f>
        <x:v>16</x:v>
      </x:c>
      <x:c r="H95" s="40" t="n">
        <x:v>46159.541666666664</x:v>
      </x:c>
      <x:c r="I95" s="48" t="n">
        <x:f>IF(AND(G95&gt;=5,H95=""),1,0)</x:f>
        <x:v>0</x:v>
      </x:c>
      <x:c r="J95" s="24" t="str">
        <x:v>Acompanhada</x:v>
      </x:c>
      <x:c r="K95" s="41" t="b">
        <x:v>1</x:v>
      </x:c>
      <x:c r="L95" s="27" t="str">
        <x:v>Rascunho sintético conferido antes de qualquer envio.</x:v>
      </x:c>
    </x:row>
    <x:row r="96">
      <x:c r="A96" s="18" t="str">
        <x:v>PR095</x:v>
      </x:c>
      <x:c r="B96" s="18" t="str">
        <x:v>CT095</x:v>
      </x:c>
      <x:c r="C96" s="21" t="n">
        <x:v>46157.583333333336</x:v>
      </x:c>
      <x:c r="D96" s="18" t="str">
        <x:v>Refrigeração</x:v>
      </x:c>
      <x:c r="E96" s="45"/>
      <x:c r="F96" s="40" t="n">
        <x:v>46158.583333333336</x:v>
      </x:c>
      <x:c r="G96" s="45" t="n">
        <x:f>MAX(0,INT(DATE(2026,5,31)-C96))</x:f>
        <x:v>15</x:v>
      </x:c>
      <x:c r="H96" s="40" t="n">
        <x:v>46160.583333333336</x:v>
      </x:c>
      <x:c r="I96" s="48" t="n">
        <x:f>IF(AND(G96&gt;=5,H96=""),1,0)</x:f>
        <x:v>0</x:v>
      </x:c>
      <x:c r="J96" s="24" t="str">
        <x:v>Aceita</x:v>
      </x:c>
      <x:c r="K96" s="41" t="b">
        <x:v>1</x:v>
      </x:c>
      <x:c r="L96" s="27" t="str">
        <x:v>Rascunho sintético conferido antes de qualquer envio.</x:v>
      </x:c>
    </x:row>
    <x:row r="97">
      <x:c r="A97" s="18" t="str">
        <x:v>PR096</x:v>
      </x:c>
      <x:c r="B97" s="18" t="str">
        <x:v>CT096</x:v>
      </x:c>
      <x:c r="C97" s="21" t="n">
        <x:v>46158.625</x:v>
      </x:c>
      <x:c r="D97" s="18" t="str">
        <x:v>Hidráulica leve</x:v>
      </x:c>
      <x:c r="E97" s="45"/>
      <x:c r="F97" s="40" t="n">
        <x:v>46159.625</x:v>
      </x:c>
      <x:c r="G97" s="45" t="n">
        <x:f>MAX(0,INT(DATE(2026,5,31)-C97))</x:f>
        <x:v>14</x:v>
      </x:c>
      <x:c r="H97" s="40" t="n">
        <x:v>46161.625</x:v>
      </x:c>
      <x:c r="I97" s="48" t="n">
        <x:f>IF(AND(G97&gt;=5,H97=""),1,0)</x:f>
        <x:v>0</x:v>
      </x:c>
      <x:c r="J97" s="24" t="str">
        <x:v>Encerrada</x:v>
      </x:c>
      <x:c r="K97" s="41" t="b">
        <x:v>1</x:v>
      </x:c>
      <x:c r="L97" s="27" t="str">
        <x:v>Rascunho sintético conferido antes de qualquer envio.</x:v>
      </x:c>
    </x:row>
    <x:row r="98">
      <x:c r="A98" s="18" t="str">
        <x:v>PR097</x:v>
      </x:c>
      <x:c r="B98" s="18" t="str">
        <x:v>CT097</x:v>
      </x:c>
      <x:c r="C98" s="21" t="n">
        <x:v>46159.416666666664</x:v>
      </x:c>
      <x:c r="D98" s="18" t="str">
        <x:v>Elétrica leve</x:v>
      </x:c>
      <x:c r="E98" s="45"/>
      <x:c r="F98" s="40" t="n">
        <x:v>46160.416666666664</x:v>
      </x:c>
      <x:c r="G98" s="45" t="n">
        <x:f>MAX(0,INT(DATE(2026,5,31)-C98))</x:f>
        <x:v>13</x:v>
      </x:c>
      <x:c r="H98" s="40" t="n">
        <x:v>46162.416666666664</x:v>
      </x:c>
      <x:c r="I98" s="48" t="n">
        <x:f>IF(AND(G98&gt;=5,H98=""),1,0)</x:f>
        <x:v>0</x:v>
      </x:c>
      <x:c r="J98" s="24" t="str">
        <x:v>Acompanhada</x:v>
      </x:c>
      <x:c r="K98" s="41" t="b">
        <x:v>1</x:v>
      </x:c>
      <x:c r="L98" s="27" t="str">
        <x:v>Rascunho sintético conferido antes de qualquer envio.</x:v>
      </x:c>
    </x:row>
    <x:row r="99">
      <x:c r="A99" s="18" t="str">
        <x:v>PR098</x:v>
      </x:c>
      <x:c r="B99" s="18" t="str">
        <x:v>CT098</x:v>
      </x:c>
      <x:c r="C99" s="21" t="n">
        <x:v>46160.458333333336</x:v>
      </x:c>
      <x:c r="D99" s="18" t="str">
        <x:v>Climatização</x:v>
      </x:c>
      <x:c r="E99" s="45"/>
      <x:c r="F99" s="40" t="n">
        <x:v>46161.458333333336</x:v>
      </x:c>
      <x:c r="G99" s="45" t="n">
        <x:f>MAX(0,INT(DATE(2026,5,31)-C99))</x:f>
        <x:v>12</x:v>
      </x:c>
      <x:c r="H99" s="40" t="n">
        <x:v>46163.458333333336</x:v>
      </x:c>
      <x:c r="I99" s="48" t="n">
        <x:f>IF(AND(G99&gt;=5,H99=""),1,0)</x:f>
        <x:v>0</x:v>
      </x:c>
      <x:c r="J99" s="24" t="str">
        <x:v>Aceita</x:v>
      </x:c>
      <x:c r="K99" s="41" t="b">
        <x:v>1</x:v>
      </x:c>
      <x:c r="L99" s="27" t="str">
        <x:v>Rascunho sintético conferido antes de qualquer envio.</x:v>
      </x:c>
    </x:row>
    <x:row r="100">
      <x:c r="A100" s="18" t="str">
        <x:v>PR099</x:v>
      </x:c>
      <x:c r="B100" s="18" t="str">
        <x:v>CT099</x:v>
      </x:c>
      <x:c r="C100" s="21" t="n">
        <x:v>46161.5</x:v>
      </x:c>
      <x:c r="D100" s="18" t="str">
        <x:v>Refrigeração</x:v>
      </x:c>
      <x:c r="E100" s="45"/>
      <x:c r="F100" s="40" t="n">
        <x:v>46162.5</x:v>
      </x:c>
      <x:c r="G100" s="45" t="n">
        <x:f>MAX(0,INT(DATE(2026,5,31)-C100))</x:f>
        <x:v>11</x:v>
      </x:c>
      <x:c r="H100" s="40" t="n">
        <x:v>46164.5</x:v>
      </x:c>
      <x:c r="I100" s="48" t="n">
        <x:f>IF(AND(G100&gt;=5,H100=""),1,0)</x:f>
        <x:v>0</x:v>
      </x:c>
      <x:c r="J100" s="24" t="str">
        <x:v>Encerrada</x:v>
      </x:c>
      <x:c r="K100" s="41" t="b">
        <x:v>1</x:v>
      </x:c>
      <x:c r="L100" s="27" t="str">
        <x:v>Rascunho sintético conferido antes de qualquer envio.</x:v>
      </x:c>
    </x:row>
    <x:row r="101">
      <x:c r="A101" s="18" t="str">
        <x:v>PR100</x:v>
      </x:c>
      <x:c r="B101" s="18" t="str">
        <x:v>CT100</x:v>
      </x:c>
      <x:c r="C101" s="21" t="n">
        <x:v>46162.541666666664</x:v>
      </x:c>
      <x:c r="D101" s="18" t="str">
        <x:v>Hidráulica leve</x:v>
      </x:c>
      <x:c r="E101" s="45"/>
      <x:c r="F101" s="40" t="n">
        <x:v>46163.541666666664</x:v>
      </x:c>
      <x:c r="G101" s="45" t="n">
        <x:f>MAX(0,INT(DATE(2026,5,31)-C101))</x:f>
        <x:v>10</x:v>
      </x:c>
      <x:c r="H101" s="40" t="n">
        <x:v>46165.541666666664</x:v>
      </x:c>
      <x:c r="I101" s="48" t="n">
        <x:f>IF(AND(G101&gt;=5,H101=""),1,0)</x:f>
        <x:v>0</x:v>
      </x:c>
      <x:c r="J101" s="24" t="str">
        <x:v>Acompanhada</x:v>
      </x:c>
      <x:c r="K101" s="41" t="b">
        <x:v>1</x:v>
      </x:c>
      <x:c r="L101" s="27" t="str">
        <x:v>Rascunho sintético conferido antes de qualquer envio.</x:v>
      </x:c>
    </x:row>
    <x:row r="102">
      <x:c r="A102" s="18" t="str">
        <x:v>PR101</x:v>
      </x:c>
      <x:c r="B102" s="18" t="str">
        <x:v>CT101</x:v>
      </x:c>
      <x:c r="C102" s="21" t="n">
        <x:v>46143.583333333336</x:v>
      </x:c>
      <x:c r="D102" s="18" t="str">
        <x:v>Elétrica leve</x:v>
      </x:c>
      <x:c r="E102" s="45"/>
      <x:c r="F102" s="40" t="n">
        <x:v>46144.583333333336</x:v>
      </x:c>
      <x:c r="G102" s="45" t="n">
        <x:f>MAX(0,INT(DATE(2026,5,31)-C102))</x:f>
        <x:v>29</x:v>
      </x:c>
      <x:c r="H102" s="40" t="n">
        <x:v>46146.583333333336</x:v>
      </x:c>
      <x:c r="I102" s="48" t="n">
        <x:f>IF(AND(G102&gt;=5,H102=""),1,0)</x:f>
        <x:v>0</x:v>
      </x:c>
      <x:c r="J102" s="24" t="str">
        <x:v>Aceita</x:v>
      </x:c>
      <x:c r="K102" s="41" t="b">
        <x:v>1</x:v>
      </x:c>
      <x:c r="L102" s="27" t="str">
        <x:v>Rascunho sintético conferido antes de qualquer envio.</x:v>
      </x:c>
    </x:row>
    <x:row r="103">
      <x:c r="A103" s="18" t="str">
        <x:v>PR102</x:v>
      </x:c>
      <x:c r="B103" s="18" t="str">
        <x:v>CT102</x:v>
      </x:c>
      <x:c r="C103" s="21" t="n">
        <x:v>46144.625</x:v>
      </x:c>
      <x:c r="D103" s="18" t="str">
        <x:v>Climatização</x:v>
      </x:c>
      <x:c r="E103" s="45"/>
      <x:c r="F103" s="40" t="n">
        <x:v>46145.625</x:v>
      </x:c>
      <x:c r="G103" s="45" t="n">
        <x:f>MAX(0,INT(DATE(2026,5,31)-C103))</x:f>
        <x:v>28</x:v>
      </x:c>
      <x:c r="H103" s="40" t="n">
        <x:v>46147.625</x:v>
      </x:c>
      <x:c r="I103" s="48" t="n">
        <x:f>IF(AND(G103&gt;=5,H103=""),1,0)</x:f>
        <x:v>0</x:v>
      </x:c>
      <x:c r="J103" s="24" t="str">
        <x:v>Encerrada</x:v>
      </x:c>
      <x:c r="K103" s="41" t="b">
        <x:v>1</x:v>
      </x:c>
      <x:c r="L103" s="27" t="str">
        <x:v>Rascunho sintético conferido antes de qualquer envio.</x:v>
      </x:c>
    </x:row>
    <x:row r="104">
      <x:c r="A104" s="18" t="str">
        <x:v>PR103</x:v>
      </x:c>
      <x:c r="B104" s="18" t="str">
        <x:v>CT103</x:v>
      </x:c>
      <x:c r="C104" s="21" t="n">
        <x:v>46145.416666666664</x:v>
      </x:c>
      <x:c r="D104" s="18" t="str">
        <x:v>Refrigeração</x:v>
      </x:c>
      <x:c r="E104" s="45"/>
      <x:c r="F104" s="40" t="n">
        <x:v>46146.416666666664</x:v>
      </x:c>
      <x:c r="G104" s="45" t="n">
        <x:f>MAX(0,INT(DATE(2026,5,31)-C104))</x:f>
        <x:v>27</x:v>
      </x:c>
      <x:c r="H104" s="40" t="n">
        <x:v>46148.416666666664</x:v>
      </x:c>
      <x:c r="I104" s="48" t="n">
        <x:f>IF(AND(G104&gt;=5,H104=""),1,0)</x:f>
        <x:v>0</x:v>
      </x:c>
      <x:c r="J104" s="24" t="str">
        <x:v>Acompanhada</x:v>
      </x:c>
      <x:c r="K104" s="41" t="b">
        <x:v>1</x:v>
      </x:c>
      <x:c r="L104" s="27" t="str">
        <x:v>Rascunho sintético conferido antes de qualquer envio.</x:v>
      </x:c>
    </x:row>
    <x:row r="105">
      <x:c r="A105" s="18" t="str">
        <x:v>PR104</x:v>
      </x:c>
      <x:c r="B105" s="18" t="str">
        <x:v>CT104</x:v>
      </x:c>
      <x:c r="C105" s="21" t="n">
        <x:v>46146.458333333336</x:v>
      </x:c>
      <x:c r="D105" s="18" t="str">
        <x:v>Hidráulica leve</x:v>
      </x:c>
      <x:c r="E105" s="45"/>
      <x:c r="F105" s="40" t="n">
        <x:v>46147.458333333336</x:v>
      </x:c>
      <x:c r="G105" s="45" t="n">
        <x:f>MAX(0,INT(DATE(2026,5,31)-C105))</x:f>
        <x:v>26</x:v>
      </x:c>
      <x:c r="H105" s="40" t="n">
        <x:v>46149.458333333336</x:v>
      </x:c>
      <x:c r="I105" s="48" t="n">
        <x:f>IF(AND(G105&gt;=5,H105=""),1,0)</x:f>
        <x:v>0</x:v>
      </x:c>
      <x:c r="J105" s="24" t="str">
        <x:v>Aceita</x:v>
      </x:c>
      <x:c r="K105" s="41" t="b">
        <x:v>1</x:v>
      </x:c>
      <x:c r="L105" s="27" t="str">
        <x:v>Rascunho sintético conferido antes de qualquer envio.</x:v>
      </x:c>
    </x:row>
    <x:row r="106">
      <x:c r="A106" s="18" t="str">
        <x:v>PR105</x:v>
      </x:c>
      <x:c r="B106" s="18" t="str">
        <x:v>CT105</x:v>
      </x:c>
      <x:c r="C106" s="21" t="n">
        <x:v>46147.5</x:v>
      </x:c>
      <x:c r="D106" s="18" t="str">
        <x:v>Elétrica leve</x:v>
      </x:c>
      <x:c r="E106" s="45"/>
      <x:c r="F106" s="40" t="n">
        <x:v>46148.5</x:v>
      </x:c>
      <x:c r="G106" s="45" t="n">
        <x:f>MAX(0,INT(DATE(2026,5,31)-C106))</x:f>
        <x:v>25</x:v>
      </x:c>
      <x:c r="H106" s="40" t="n">
        <x:v>46150.5</x:v>
      </x:c>
      <x:c r="I106" s="48" t="n">
        <x:f>IF(AND(G106&gt;=5,H106=""),1,0)</x:f>
        <x:v>0</x:v>
      </x:c>
      <x:c r="J106" s="24" t="str">
        <x:v>Encerrada</x:v>
      </x:c>
      <x:c r="K106" s="41" t="b">
        <x:v>1</x:v>
      </x:c>
      <x:c r="L106" s="27" t="str">
        <x:v>Rascunho sintético conferido antes de qualquer envio.</x:v>
      </x:c>
    </x:row>
    <x:row r="107">
      <x:c r="A107" s="18" t="str">
        <x:v>PR106</x:v>
      </x:c>
      <x:c r="B107" s="18" t="str">
        <x:v>CT106</x:v>
      </x:c>
      <x:c r="C107" s="21" t="n">
        <x:v>46148.541666666664</x:v>
      </x:c>
      <x:c r="D107" s="18" t="str">
        <x:v>Climatização</x:v>
      </x:c>
      <x:c r="E107" s="45"/>
      <x:c r="F107" s="40" t="n">
        <x:v>46149.541666666664</x:v>
      </x:c>
      <x:c r="G107" s="45" t="n">
        <x:f>MAX(0,INT(DATE(2026,5,31)-C107))</x:f>
        <x:v>24</x:v>
      </x:c>
      <x:c r="H107" s="40" t="n">
        <x:v>46151.541666666664</x:v>
      </x:c>
      <x:c r="I107" s="48" t="n">
        <x:f>IF(AND(G107&gt;=5,H107=""),1,0)</x:f>
        <x:v>0</x:v>
      </x:c>
      <x:c r="J107" s="24" t="str">
        <x:v>Acompanhada</x:v>
      </x:c>
      <x:c r="K107" s="41" t="b">
        <x:v>1</x:v>
      </x:c>
      <x:c r="L107" s="27" t="str">
        <x:v>Rascunho sintético conferido antes de qualquer envio.</x:v>
      </x:c>
    </x:row>
    <x:row r="108">
      <x:c r="A108" s="18" t="str">
        <x:v>PR107</x:v>
      </x:c>
      <x:c r="B108" s="18" t="str">
        <x:v>CT107</x:v>
      </x:c>
      <x:c r="C108" s="21" t="n">
        <x:v>46149.583333333336</x:v>
      </x:c>
      <x:c r="D108" s="18" t="str">
        <x:v>Refrigeração</x:v>
      </x:c>
      <x:c r="E108" s="45"/>
      <x:c r="F108" s="40" t="n">
        <x:v>46150.583333333336</x:v>
      </x:c>
      <x:c r="G108" s="45" t="n">
        <x:f>MAX(0,INT(DATE(2026,5,31)-C108))</x:f>
        <x:v>23</x:v>
      </x:c>
      <x:c r="H108" s="40" t="n">
        <x:v>46152.583333333336</x:v>
      </x:c>
      <x:c r="I108" s="48" t="n">
        <x:f>IF(AND(G108&gt;=5,H108=""),1,0)</x:f>
        <x:v>0</x:v>
      </x:c>
      <x:c r="J108" s="24" t="str">
        <x:v>Aceita</x:v>
      </x:c>
      <x:c r="K108" s="41" t="b">
        <x:v>1</x:v>
      </x:c>
      <x:c r="L108" s="27" t="str">
        <x:v>Rascunho sintético conferido antes de qualquer envio.</x:v>
      </x:c>
    </x:row>
    <x:row r="109">
      <x:c r="A109" s="18" t="str">
        <x:v>PR108</x:v>
      </x:c>
      <x:c r="B109" s="18" t="str">
        <x:v>CT108</x:v>
      </x:c>
      <x:c r="C109" s="21" t="n">
        <x:v>46150.625</x:v>
      </x:c>
      <x:c r="D109" s="18" t="str">
        <x:v>Hidráulica leve</x:v>
      </x:c>
      <x:c r="E109" s="45"/>
      <x:c r="F109" s="40" t="n">
        <x:v>46151.625</x:v>
      </x:c>
      <x:c r="G109" s="45" t="n">
        <x:f>MAX(0,INT(DATE(2026,5,31)-C109))</x:f>
        <x:v>22</x:v>
      </x:c>
      <x:c r="H109" s="40" t="n">
        <x:v>46153.625</x:v>
      </x:c>
      <x:c r="I109" s="48" t="n">
        <x:f>IF(AND(G109&gt;=5,H109=""),1,0)</x:f>
        <x:v>0</x:v>
      </x:c>
      <x:c r="J109" s="24" t="str">
        <x:v>Encerrada</x:v>
      </x:c>
      <x:c r="K109" s="41" t="b">
        <x:v>1</x:v>
      </x:c>
      <x:c r="L109" s="27" t="str">
        <x:v>Rascunho sintético conferido antes de qualquer envio.</x:v>
      </x:c>
    </x:row>
    <x:row r="110">
      <x:c r="A110" s="18" t="str">
        <x:v>PR109</x:v>
      </x:c>
      <x:c r="B110" s="18" t="str">
        <x:v>CT109</x:v>
      </x:c>
      <x:c r="C110" s="21" t="n">
        <x:v>46151.416666666664</x:v>
      </x:c>
      <x:c r="D110" s="18" t="str">
        <x:v>Elétrica leve</x:v>
      </x:c>
      <x:c r="E110" s="45"/>
      <x:c r="F110" s="40" t="n">
        <x:v>46152.416666666664</x:v>
      </x:c>
      <x:c r="G110" s="45" t="n">
        <x:f>MAX(0,INT(DATE(2026,5,31)-C110))</x:f>
        <x:v>21</x:v>
      </x:c>
      <x:c r="H110" s="40" t="n">
        <x:v>46154.416666666664</x:v>
      </x:c>
      <x:c r="I110" s="48" t="n">
        <x:f>IF(AND(G110&gt;=5,H110=""),1,0)</x:f>
        <x:v>0</x:v>
      </x:c>
      <x:c r="J110" s="24" t="str">
        <x:v>Acompanhada</x:v>
      </x:c>
      <x:c r="K110" s="41" t="b">
        <x:v>1</x:v>
      </x:c>
      <x:c r="L110" s="27" t="str">
        <x:v>Rascunho sintético conferido antes de qualquer envio.</x:v>
      </x:c>
    </x:row>
    <x:row r="111">
      <x:c r="A111" s="18" t="str">
        <x:v>PR110</x:v>
      </x:c>
      <x:c r="B111" s="18" t="str">
        <x:v>CT110</x:v>
      </x:c>
      <x:c r="C111" s="21" t="n">
        <x:v>46152.458333333336</x:v>
      </x:c>
      <x:c r="D111" s="18" t="str">
        <x:v>Climatização</x:v>
      </x:c>
      <x:c r="E111" s="45"/>
      <x:c r="F111" s="40" t="n">
        <x:v>46153.458333333336</x:v>
      </x:c>
      <x:c r="G111" s="45" t="n">
        <x:f>MAX(0,INT(DATE(2026,5,31)-C111))</x:f>
        <x:v>20</x:v>
      </x:c>
      <x:c r="H111" s="40" t="n">
        <x:v>46155.458333333336</x:v>
      </x:c>
      <x:c r="I111" s="48" t="n">
        <x:f>IF(AND(G111&gt;=5,H111=""),1,0)</x:f>
        <x:v>0</x:v>
      </x:c>
      <x:c r="J111" s="24" t="str">
        <x:v>Aceita</x:v>
      </x:c>
      <x:c r="K111" s="41" t="b">
        <x:v>1</x:v>
      </x:c>
      <x:c r="L111" s="27" t="str">
        <x:v>Rascunho sintético conferido antes de qualquer envio.</x:v>
      </x:c>
    </x:row>
    <x:row r="112">
      <x:c r="A112" s="18" t="str">
        <x:v>PR111</x:v>
      </x:c>
      <x:c r="B112" s="18" t="str">
        <x:v>CT111</x:v>
      </x:c>
      <x:c r="C112" s="21" t="n">
        <x:v>46153.5</x:v>
      </x:c>
      <x:c r="D112" s="18" t="str">
        <x:v>Refrigeração</x:v>
      </x:c>
      <x:c r="E112" s="45"/>
      <x:c r="F112" s="40" t="n">
        <x:v>46154.5</x:v>
      </x:c>
      <x:c r="G112" s="45" t="n">
        <x:f>MAX(0,INT(DATE(2026,5,31)-C112))</x:f>
        <x:v>19</x:v>
      </x:c>
      <x:c r="H112" s="40" t="n">
        <x:v>46156.5</x:v>
      </x:c>
      <x:c r="I112" s="48" t="n">
        <x:f>IF(AND(G112&gt;=5,H112=""),1,0)</x:f>
        <x:v>0</x:v>
      </x:c>
      <x:c r="J112" s="24" t="str">
        <x:v>Encerrada</x:v>
      </x:c>
      <x:c r="K112" s="41" t="b">
        <x:v>1</x:v>
      </x:c>
      <x:c r="L112" s="27" t="str">
        <x:v>Rascunho sintético conferido antes de qualquer envio.</x:v>
      </x:c>
    </x:row>
    <x:row r="113">
      <x:c r="A113" s="18" t="str">
        <x:v>PR112</x:v>
      </x:c>
      <x:c r="B113" s="18" t="str">
        <x:v>CT112</x:v>
      </x:c>
      <x:c r="C113" s="21" t="n">
        <x:v>46154.541666666664</x:v>
      </x:c>
      <x:c r="D113" s="18" t="str">
        <x:v>Hidráulica leve</x:v>
      </x:c>
      <x:c r="E113" s="45"/>
      <x:c r="F113" s="40" t="n">
        <x:v>46155.541666666664</x:v>
      </x:c>
      <x:c r="G113" s="45" t="n">
        <x:f>MAX(0,INT(DATE(2026,5,31)-C113))</x:f>
        <x:v>18</x:v>
      </x:c>
      <x:c r="H113" s="40" t="n">
        <x:v>46157.541666666664</x:v>
      </x:c>
      <x:c r="I113" s="48" t="n">
        <x:f>IF(AND(G113&gt;=5,H113=""),1,0)</x:f>
        <x:v>0</x:v>
      </x:c>
      <x:c r="J113" s="24" t="str">
        <x:v>Acompanhada</x:v>
      </x:c>
      <x:c r="K113" s="41" t="b">
        <x:v>1</x:v>
      </x:c>
      <x:c r="L113" s="27" t="str">
        <x:v>Rascunho sintético conferido antes de qualquer envio.</x:v>
      </x:c>
    </x:row>
    <x:row r="114">
      <x:c r="A114" s="18" t="str">
        <x:v>PR113</x:v>
      </x:c>
      <x:c r="B114" s="18" t="str">
        <x:v>CT113</x:v>
      </x:c>
      <x:c r="C114" s="21" t="n">
        <x:v>46155.583333333336</x:v>
      </x:c>
      <x:c r="D114" s="18" t="str">
        <x:v>Elétrica leve</x:v>
      </x:c>
      <x:c r="E114" s="45"/>
      <x:c r="F114" s="40" t="n">
        <x:v>46156.583333333336</x:v>
      </x:c>
      <x:c r="G114" s="45" t="n">
        <x:f>MAX(0,INT(DATE(2026,5,31)-C114))</x:f>
        <x:v>17</x:v>
      </x:c>
      <x:c r="H114" s="40" t="n">
        <x:v>46158.583333333336</x:v>
      </x:c>
      <x:c r="I114" s="48" t="n">
        <x:f>IF(AND(G114&gt;=5,H114=""),1,0)</x:f>
        <x:v>0</x:v>
      </x:c>
      <x:c r="J114" s="24" t="str">
        <x:v>Aceita</x:v>
      </x:c>
      <x:c r="K114" s="41" t="b">
        <x:v>1</x:v>
      </x:c>
      <x:c r="L114" s="27" t="str">
        <x:v>Rascunho sintético conferido antes de qualquer envio.</x:v>
      </x:c>
    </x:row>
    <x:row r="115">
      <x:c r="A115" s="18" t="str">
        <x:v>PR114</x:v>
      </x:c>
      <x:c r="B115" s="18" t="str">
        <x:v>CT114</x:v>
      </x:c>
      <x:c r="C115" s="21" t="n">
        <x:v>46156.625</x:v>
      </x:c>
      <x:c r="D115" s="18" t="str">
        <x:v>Climatização</x:v>
      </x:c>
      <x:c r="E115" s="45"/>
      <x:c r="F115" s="40" t="n">
        <x:v>46157.625</x:v>
      </x:c>
      <x:c r="G115" s="45" t="n">
        <x:f>MAX(0,INT(DATE(2026,5,31)-C115))</x:f>
        <x:v>16</x:v>
      </x:c>
      <x:c r="H115" s="40" t="n">
        <x:v>46159.625</x:v>
      </x:c>
      <x:c r="I115" s="48" t="n">
        <x:f>IF(AND(G115&gt;=5,H115=""),1,0)</x:f>
        <x:v>0</x:v>
      </x:c>
      <x:c r="J115" s="24" t="str">
        <x:v>Encerrada</x:v>
      </x:c>
      <x:c r="K115" s="41" t="b">
        <x:v>1</x:v>
      </x:c>
      <x:c r="L115" s="27" t="str">
        <x:v>Rascunho sintético conferido antes de qualquer envio.</x:v>
      </x:c>
    </x:row>
    <x:row r="116">
      <x:c r="A116" s="18" t="str">
        <x:v>PR115</x:v>
      </x:c>
      <x:c r="B116" s="18" t="str">
        <x:v>CT115</x:v>
      </x:c>
      <x:c r="C116" s="21" t="n">
        <x:v>46157.416666666664</x:v>
      </x:c>
      <x:c r="D116" s="18" t="str">
        <x:v>Refrigeração</x:v>
      </x:c>
      <x:c r="E116" s="45"/>
      <x:c r="F116" s="40" t="n">
        <x:v>46158.416666666664</x:v>
      </x:c>
      <x:c r="G116" s="45" t="n">
        <x:f>MAX(0,INT(DATE(2026,5,31)-C116))</x:f>
        <x:v>15</x:v>
      </x:c>
      <x:c r="H116" s="40" t="n">
        <x:v>46160.416666666664</x:v>
      </x:c>
      <x:c r="I116" s="48" t="n">
        <x:f>IF(AND(G116&gt;=5,H116=""),1,0)</x:f>
        <x:v>0</x:v>
      </x:c>
      <x:c r="J116" s="24" t="str">
        <x:v>Acompanhada</x:v>
      </x:c>
      <x:c r="K116" s="41" t="b">
        <x:v>1</x:v>
      </x:c>
      <x:c r="L116" s="27" t="str">
        <x:v>Rascunho sintético conferido antes de qualquer envio.</x:v>
      </x:c>
    </x:row>
    <x:row r="117">
      <x:c r="A117" s="18" t="str">
        <x:v>PR116</x:v>
      </x:c>
      <x:c r="B117" s="18" t="str">
        <x:v>CT116</x:v>
      </x:c>
      <x:c r="C117" s="21" t="n">
        <x:v>46158.458333333336</x:v>
      </x:c>
      <x:c r="D117" s="18" t="str">
        <x:v>Hidráulica leve</x:v>
      </x:c>
      <x:c r="E117" s="45"/>
      <x:c r="F117" s="40" t="n">
        <x:v>46159.458333333336</x:v>
      </x:c>
      <x:c r="G117" s="45" t="n">
        <x:f>MAX(0,INT(DATE(2026,5,31)-C117))</x:f>
        <x:v>14</x:v>
      </x:c>
      <x:c r="H117" s="40" t="n">
        <x:v>46161.458333333336</x:v>
      </x:c>
      <x:c r="I117" s="48" t="n">
        <x:f>IF(AND(G117&gt;=5,H117=""),1,0)</x:f>
        <x:v>0</x:v>
      </x:c>
      <x:c r="J117" s="24" t="str">
        <x:v>Aceita</x:v>
      </x:c>
      <x:c r="K117" s="41" t="b">
        <x:v>1</x:v>
      </x:c>
      <x:c r="L117" s="27" t="str">
        <x:v>Rascunho sintético conferido antes de qualquer envio.</x:v>
      </x:c>
    </x:row>
    <x:row r="118">
      <x:c r="A118" s="18" t="str">
        <x:v>PR117</x:v>
      </x:c>
      <x:c r="B118" s="18" t="str">
        <x:v>CT117</x:v>
      </x:c>
      <x:c r="C118" s="21" t="n">
        <x:v>46159.5</x:v>
      </x:c>
      <x:c r="D118" s="18" t="str">
        <x:v>Elétrica leve</x:v>
      </x:c>
      <x:c r="E118" s="45"/>
      <x:c r="F118" s="40" t="n">
        <x:v>46160.5</x:v>
      </x:c>
      <x:c r="G118" s="45" t="n">
        <x:f>MAX(0,INT(DATE(2026,5,31)-C118))</x:f>
        <x:v>13</x:v>
      </x:c>
      <x:c r="H118" s="40" t="n">
        <x:v>46162.5</x:v>
      </x:c>
      <x:c r="I118" s="48" t="n">
        <x:f>IF(AND(G118&gt;=5,H118=""),1,0)</x:f>
        <x:v>0</x:v>
      </x:c>
      <x:c r="J118" s="24" t="str">
        <x:v>Encerrada</x:v>
      </x:c>
      <x:c r="K118" s="41" t="b">
        <x:v>1</x:v>
      </x:c>
      <x:c r="L118" s="27" t="str">
        <x:v>Rascunho sintético conferido antes de qualquer envio.</x:v>
      </x:c>
    </x:row>
    <x:row r="119">
      <x:c r="A119" s="18" t="str">
        <x:v>PR118</x:v>
      </x:c>
      <x:c r="B119" s="18" t="str">
        <x:v>CT118</x:v>
      </x:c>
      <x:c r="C119" s="21" t="n">
        <x:v>46160.541666666664</x:v>
      </x:c>
      <x:c r="D119" s="18" t="str">
        <x:v>Climatização</x:v>
      </x:c>
      <x:c r="E119" s="45"/>
      <x:c r="F119" s="40" t="n">
        <x:v>46161.541666666664</x:v>
      </x:c>
      <x:c r="G119" s="45" t="n">
        <x:f>MAX(0,INT(DATE(2026,5,31)-C119))</x:f>
        <x:v>12</x:v>
      </x:c>
      <x:c r="H119" s="40" t="n">
        <x:v>46163.541666666664</x:v>
      </x:c>
      <x:c r="I119" s="48" t="n">
        <x:f>IF(AND(G119&gt;=5,H119=""),1,0)</x:f>
        <x:v>0</x:v>
      </x:c>
      <x:c r="J119" s="24" t="str">
        <x:v>Acompanhada</x:v>
      </x:c>
      <x:c r="K119" s="41" t="b">
        <x:v>1</x:v>
      </x:c>
      <x:c r="L119" s="27" t="str">
        <x:v>Rascunho sintético conferido antes de qualquer envio.</x:v>
      </x:c>
    </x:row>
    <x:row r="120">
      <x:c r="A120" s="18" t="str">
        <x:v>PR119</x:v>
      </x:c>
      <x:c r="B120" s="18" t="str">
        <x:v>CT119</x:v>
      </x:c>
      <x:c r="C120" s="21" t="n">
        <x:v>46161.583333333336</x:v>
      </x:c>
      <x:c r="D120" s="18" t="str">
        <x:v>Refrigeração</x:v>
      </x:c>
      <x:c r="E120" s="45"/>
      <x:c r="F120" s="40" t="n">
        <x:v>46162.583333333336</x:v>
      </x:c>
      <x:c r="G120" s="45" t="n">
        <x:f>MAX(0,INT(DATE(2026,5,31)-C120))</x:f>
        <x:v>11</x:v>
      </x:c>
      <x:c r="H120" s="40" t="n">
        <x:v>46164.583333333336</x:v>
      </x:c>
      <x:c r="I120" s="48" t="n">
        <x:f>IF(AND(G120&gt;=5,H120=""),1,0)</x:f>
        <x:v>0</x:v>
      </x:c>
      <x:c r="J120" s="24" t="str">
        <x:v>Aceita</x:v>
      </x:c>
      <x:c r="K120" s="41" t="b">
        <x:v>1</x:v>
      </x:c>
      <x:c r="L120" s="27" t="str">
        <x:v>Rascunho sintético conferido antes de qualquer envio.</x:v>
      </x:c>
    </x:row>
    <x:row r="121">
      <x:c r="A121" s="18" t="str">
        <x:v>PR120</x:v>
      </x:c>
      <x:c r="B121" s="18" t="str">
        <x:v>CT120</x:v>
      </x:c>
      <x:c r="C121" s="21" t="n">
        <x:v>46162.625</x:v>
      </x:c>
      <x:c r="D121" s="18" t="str">
        <x:v>Hidráulica leve</x:v>
      </x:c>
      <x:c r="E121" s="45"/>
      <x:c r="F121" s="40" t="n">
        <x:v>46163.625</x:v>
      </x:c>
      <x:c r="G121" s="45" t="n">
        <x:f>MAX(0,INT(DATE(2026,5,31)-C121))</x:f>
        <x:v>10</x:v>
      </x:c>
      <x:c r="H121" s="40" t="n">
        <x:v>46165.625</x:v>
      </x:c>
      <x:c r="I121" s="48" t="n">
        <x:f>IF(AND(G121&gt;=5,H121=""),1,0)</x:f>
        <x:v>0</x:v>
      </x:c>
      <x:c r="J121" s="24" t="str">
        <x:v>Encerrada</x:v>
      </x:c>
      <x:c r="K121" s="41" t="b">
        <x:v>1</x:v>
      </x:c>
      <x:c r="L121" s="27" t="str">
        <x:v>Rascunho sintético conferido antes de qualquer envio.</x:v>
      </x:c>
    </x:row>
    <x:row r="122">
      <x:c r="A122" s="18" t="str">
        <x:v>PR121</x:v>
      </x:c>
      <x:c r="B122" s="18" t="str">
        <x:v>CT121</x:v>
      </x:c>
      <x:c r="C122" s="21" t="n">
        <x:v>46143.416666666664</x:v>
      </x:c>
      <x:c r="D122" s="18" t="str">
        <x:v>Elétrica leve</x:v>
      </x:c>
      <x:c r="E122" s="45"/>
      <x:c r="F122" s="40" t="n">
        <x:v>46144.416666666664</x:v>
      </x:c>
      <x:c r="G122" s="45" t="n">
        <x:f>MAX(0,INT(DATE(2026,5,31)-C122))</x:f>
        <x:v>29</x:v>
      </x:c>
      <x:c r="H122" s="40" t="n">
        <x:v>46146.416666666664</x:v>
      </x:c>
      <x:c r="I122" s="48" t="n">
        <x:f>IF(AND(G122&gt;=5,H122=""),1,0)</x:f>
        <x:v>0</x:v>
      </x:c>
      <x:c r="J122" s="24" t="str">
        <x:v>Acompanhada</x:v>
      </x:c>
      <x:c r="K122" s="41" t="b">
        <x:v>1</x:v>
      </x:c>
      <x:c r="L122" s="27" t="str">
        <x:v>Rascunho sintético conferido antes de qualquer envio.</x:v>
      </x:c>
    </x:row>
    <x:row r="123">
      <x:c r="A123" s="18" t="str">
        <x:v>PR122</x:v>
      </x:c>
      <x:c r="B123" s="18" t="str">
        <x:v>CT122</x:v>
      </x:c>
      <x:c r="C123" s="21" t="n">
        <x:v>46144.458333333336</x:v>
      </x:c>
      <x:c r="D123" s="18" t="str">
        <x:v>Climatização</x:v>
      </x:c>
      <x:c r="E123" s="45"/>
      <x:c r="F123" s="40" t="n">
        <x:v>46145.458333333336</x:v>
      </x:c>
      <x:c r="G123" s="45" t="n">
        <x:f>MAX(0,INT(DATE(2026,5,31)-C123))</x:f>
        <x:v>28</x:v>
      </x:c>
      <x:c r="H123" s="40" t="n">
        <x:v>46147.458333333336</x:v>
      </x:c>
      <x:c r="I123" s="48" t="n">
        <x:f>IF(AND(G123&gt;=5,H123=""),1,0)</x:f>
        <x:v>0</x:v>
      </x:c>
      <x:c r="J123" s="24" t="str">
        <x:v>Aceita</x:v>
      </x:c>
      <x:c r="K123" s="41" t="b">
        <x:v>1</x:v>
      </x:c>
      <x:c r="L123" s="27" t="str">
        <x:v>Rascunho sintético conferido antes de qualquer envio.</x:v>
      </x:c>
    </x:row>
    <x:row r="124">
      <x:c r="A124" s="18" t="str">
        <x:v>PR123</x:v>
      </x:c>
      <x:c r="B124" s="18" t="str">
        <x:v>CT123</x:v>
      </x:c>
      <x:c r="C124" s="21" t="n">
        <x:v>46145.5</x:v>
      </x:c>
      <x:c r="D124" s="18" t="str">
        <x:v>Refrigeração</x:v>
      </x:c>
      <x:c r="E124" s="45"/>
      <x:c r="F124" s="40" t="n">
        <x:v>46146.5</x:v>
      </x:c>
      <x:c r="G124" s="45" t="n">
        <x:f>MAX(0,INT(DATE(2026,5,31)-C124))</x:f>
        <x:v>27</x:v>
      </x:c>
      <x:c r="H124" s="40" t="n">
        <x:v>46148.5</x:v>
      </x:c>
      <x:c r="I124" s="48" t="n">
        <x:f>IF(AND(G124&gt;=5,H124=""),1,0)</x:f>
        <x:v>0</x:v>
      </x:c>
      <x:c r="J124" s="24" t="str">
        <x:v>Encerrada</x:v>
      </x:c>
      <x:c r="K124" s="41" t="b">
        <x:v>1</x:v>
      </x:c>
      <x:c r="L124" s="27" t="str">
        <x:v>Rascunho sintético conferido antes de qualquer envio.</x:v>
      </x:c>
    </x:row>
    <x:row r="125">
      <x:c r="A125" s="18" t="str">
        <x:v>PR124</x:v>
      </x:c>
      <x:c r="B125" s="18" t="str">
        <x:v>CT124</x:v>
      </x:c>
      <x:c r="C125" s="21" t="n">
        <x:v>46146.541666666664</x:v>
      </x:c>
      <x:c r="D125" s="18" t="str">
        <x:v>Hidráulica leve</x:v>
      </x:c>
      <x:c r="E125" s="45"/>
      <x:c r="F125" s="40" t="n">
        <x:v>46147.541666666664</x:v>
      </x:c>
      <x:c r="G125" s="45" t="n">
        <x:f>MAX(0,INT(DATE(2026,5,31)-C125))</x:f>
        <x:v>26</x:v>
      </x:c>
      <x:c r="H125" s="40" t="n">
        <x:v>46149.541666666664</x:v>
      </x:c>
      <x:c r="I125" s="48" t="n">
        <x:f>IF(AND(G125&gt;=5,H125=""),1,0)</x:f>
        <x:v>0</x:v>
      </x:c>
      <x:c r="J125" s="24" t="str">
        <x:v>Acompanhada</x:v>
      </x:c>
      <x:c r="K125" s="41" t="b">
        <x:v>1</x:v>
      </x:c>
      <x:c r="L125" s="27" t="str">
        <x:v>Rascunho sintético conferido antes de qualquer envio.</x:v>
      </x:c>
    </x:row>
    <x:row r="126">
      <x:c r="A126" s="18" t="str">
        <x:v>PR125</x:v>
      </x:c>
      <x:c r="B126" s="18" t="str">
        <x:v>CT125</x:v>
      </x:c>
      <x:c r="C126" s="21" t="n">
        <x:v>46147.583333333336</x:v>
      </x:c>
      <x:c r="D126" s="18" t="str">
        <x:v>Elétrica leve</x:v>
      </x:c>
      <x:c r="E126" s="45"/>
      <x:c r="F126" s="40" t="n">
        <x:v>46148.583333333336</x:v>
      </x:c>
      <x:c r="G126" s="45" t="n">
        <x:f>MAX(0,INT(DATE(2026,5,31)-C126))</x:f>
        <x:v>25</x:v>
      </x:c>
      <x:c r="H126" s="40" t="n">
        <x:v>46150.583333333336</x:v>
      </x:c>
      <x:c r="I126" s="48" t="n">
        <x:f>IF(AND(G126&gt;=5,H126=""),1,0)</x:f>
        <x:v>0</x:v>
      </x:c>
      <x:c r="J126" s="24" t="str">
        <x:v>Aceita</x:v>
      </x:c>
      <x:c r="K126" s="41" t="b">
        <x:v>1</x:v>
      </x:c>
      <x:c r="L126" s="27" t="str">
        <x:v>Rascunho sintético conferido antes de qualquer envio.</x:v>
      </x:c>
    </x:row>
    <x:row r="127">
      <x:c r="A127" s="19" t="str">
        <x:v>PR126</x:v>
      </x:c>
      <x:c r="B127" s="19" t="str">
        <x:v>CT126</x:v>
      </x:c>
      <x:c r="C127" s="22" t="n">
        <x:v>46148.625</x:v>
      </x:c>
      <x:c r="D127" s="19" t="str">
        <x:v>Climatização</x:v>
      </x:c>
      <x:c r="E127" s="46"/>
      <x:c r="F127" s="42" t="n">
        <x:v>46149.625</x:v>
      </x:c>
      <x:c r="G127" s="46" t="n">
        <x:f>MAX(0,INT(DATE(2026,5,31)-C127))</x:f>
        <x:v>24</x:v>
      </x:c>
      <x:c r="H127" s="42" t="n">
        <x:v>46151.625</x:v>
      </x:c>
      <x:c r="I127" s="49" t="n">
        <x:f>IF(AND(G127&gt;=5,H127=""),1,0)</x:f>
        <x:v>0</x:v>
      </x:c>
      <x:c r="J127" s="25" t="str">
        <x:v>Encerrada</x:v>
      </x:c>
      <x:c r="K127" s="43" t="b">
        <x:v>1</x:v>
      </x:c>
      <x:c r="L127" s="28" t="str">
        <x:v>Rascunho sintético conferido antes de qualquer envio.</x:v>
      </x:c>
    </x:row>
  </x:sheetData>
  <x:pageMargins left="0.7" right="0.7" top="0.75" bottom="0.75" header="0.3" footer="0.3"/>
  <x:tableParts count="1">
    <x:tablePart xmlns:r="http://schemas.openxmlformats.org/officeDocument/2006/relationships" r:id="R439fc491ca0c4f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40" hidden="0" customWidth="1"/>
    <x:col min="4" max="4" width="13" hidden="0" customWidth="1"/>
    <x:col min="5" max="5" width="54" hidden="0" customWidth="1"/>
    <x:col min="6" max="6" width="62" hidden="0" customWidth="1"/>
  </x:cols>
  <x:sheetData>
    <x:row r="1" ht="42" customHeight="1">
      <x:c r="A1" s="51" t="str">
        <x:v>Atendimento e propostas — maio de 2026</x:v>
      </x:c>
      <x:c r="B1" s="51"/>
      <x:c r="C1" s="51"/>
      <x:c r="D1" s="51"/>
      <x:c r="E1" s="51"/>
      <x:c r="F1" s="51"/>
    </x:row>
    <x:row r="2" ht="34" customHeight="1">
      <x:c r="A2" s="54" t="str">
        <x:v>Caso sintético Lume. Os indicadores de maio são fórmulas auditáveis sobre as abas detalhadas; os 11 meses anteriores são agregados sintéticos fixos para análise temporal.</x:v>
      </x:c>
      <x:c r="B2" s="54"/>
      <x:c r="C2" s="54"/>
      <x:c r="D2" s="54"/>
      <x:c r="E2" s="54"/>
      <x:c r="F2" s="54"/>
    </x:row>
    <x:row r="4" ht="34" customHeight="1">
      <x:c r="A4" s="9" t="str">
        <x:v>Indicador canônico</x:v>
      </x:c>
      <x:c r="B4" s="10" t="str">
        <x:v>Valor recalculado</x:v>
      </x:c>
      <x:c r="C4" s="11" t="str">
        <x:v>Regra</x:v>
      </x:c>
    </x:row>
    <x:row r="5">
      <x:c r="A5" s="17" t="str">
        <x:v>Contatos</x:v>
      </x:c>
      <x:c r="B5" s="67" t="n">
        <x:f>COUNTA('contatos'!A2:A215)</x:f>
        <x:v>214</x:v>
      </x:c>
      <x:c r="C5" s="17" t="str">
        <x:v>Linhas válidas em contatos.</x:v>
      </x:c>
    </x:row>
    <x:row r="6">
      <x:c r="A6" s="18" t="str">
        <x:v>Mediana da primeira resposta (min)</x:v>
      </x:c>
      <x:c r="B6" s="68" t="n">
        <x:f>MEDIAN('contatos'!I2:I215)</x:f>
        <x:v>228</x:v>
      </x:c>
      <x:c r="C6" s="18" t="str">
        <x:v>Mediana; 228 min = 3h48.</x:v>
      </x:c>
    </x:row>
    <x:row r="7">
      <x:c r="A7" s="18" t="str">
        <x:v>Acima de 4 horas</x:v>
      </x:c>
      <x:c r="B7" s="68" t="n">
        <x:f>SUM('contatos'!J2:J215)</x:f>
        <x:v>62</x:v>
      </x:c>
      <x:c r="C7" s="18" t="str">
        <x:v>Estritamente maior que 240 min.</x:v>
      </x:c>
    </x:row>
    <x:row r="8">
      <x:c r="A8" s="18" t="str">
        <x:v>Cadastros incompletos</x:v>
      </x:c>
      <x:c r="B8" s="68" t="n">
        <x:f>COUNTA('contatos'!A2:A215)-SUM('contatos'!K2:K215)</x:f>
        <x:v>81</x:v>
      </x:c>
      <x:c r="C8" s="18" t="str">
        <x:v>Falta cliente, serviço ou região.</x:v>
      </x:c>
    </x:row>
    <x:row r="9">
      <x:c r="A9" s="18" t="str">
        <x:v>Propostas</x:v>
      </x:c>
      <x:c r="B9" s="68" t="n">
        <x:f>COUNTA('propostas'!A2:A127)</x:f>
        <x:v>126</x:v>
      </x:c>
      <x:c r="C9" s="18" t="str">
        <x:v>Linhas válidas em propostas.</x:v>
      </x:c>
    </x:row>
    <x:row r="10">
      <x:c r="A10" s="18" t="str">
        <x:v>Sem follow-up após 5 dias</x:v>
      </x:c>
      <x:c r="B10" s="68" t="n">
        <x:f>SUM('propostas'!I2:I127)</x:f>
        <x:v>28</x:v>
      </x:c>
      <x:c r="C10" s="18" t="str">
        <x:v>Idade &gt;= 5 dias e follow-up vazio.</x:v>
      </x:c>
    </x:row>
    <x:row r="11">
      <x:c r="A11" s="18" t="str">
        <x:v>Tempo médio de preparo (min)</x:v>
      </x:c>
      <x:c r="B11" s="68" t="n">
        <x:f>AVERAGE('propostas'!E2:E127)</x:f>
        <x:v>12</x:v>
      </x:c>
      <x:c r="C11" s="18" t="str">
        <x:v>Média das medições sintéticas.</x:v>
      </x:c>
    </x:row>
    <x:row r="12">
      <x:c r="A12" s="19" t="str">
        <x:v>Estimativa mensal (horas)</x:v>
      </x:c>
      <x:c r="B12" s="69" t="n">
        <x:f>COUNTA('propostas'!A2:A127)*AVERAGE('propostas'!E2:E127)/60</x:f>
        <x:v>25.2</x:v>
      </x:c>
      <x:c r="C12" s="19" t="str">
        <x:v>Inferência: volume × média ÷ 60.</x:v>
      </x:c>
    </x:row>
    <x:row r="15" ht="34" customHeight="1">
      <x:c r="A15" s="9" t="str">
        <x:v>Aba</x:v>
      </x:c>
      <x:c r="B15" s="10" t="str">
        <x:v>Coluna</x:v>
      </x:c>
      <x:c r="C15" s="10" t="str">
        <x:v>Tipo</x:v>
      </x:c>
      <x:c r="D15" s="10" t="str">
        <x:v>Obrigatória</x:v>
      </x:c>
      <x:c r="E15" s="10" t="str">
        <x:v>Definição</x:v>
      </x:c>
      <x:c r="F15" s="11" t="str">
        <x:v>Regra ou domínio</x:v>
      </x:c>
    </x:row>
    <x:row r="16">
      <x:c r="A16" s="17" t="str">
        <x:v>contatos</x:v>
      </x:c>
      <x:c r="B16" s="17" t="str">
        <x:v>contato_id</x:v>
      </x:c>
      <x:c r="C16" s="17" t="str">
        <x:v>texto</x:v>
      </x:c>
      <x:c r="D16" s="17" t="str">
        <x:v>Sim</x:v>
      </x:c>
      <x:c r="E16" s="26" t="str">
        <x:v>Identificador sintético do contato.</x:v>
      </x:c>
      <x:c r="F16" s="26" t="str">
        <x:v>Prefixo CT e três dígitos; não é dado pessoal.</x:v>
      </x:c>
    </x:row>
    <x:row r="17">
      <x:c r="A17" s="18" t="str">
        <x:v>contatos</x:v>
      </x:c>
      <x:c r="B17" s="18" t="str">
        <x:v>recebido_em</x:v>
      </x:c>
      <x:c r="C17" s="18" t="str">
        <x:v>data/hora UTC</x:v>
      </x:c>
      <x:c r="D17" s="18" t="str">
        <x:v>Sim</x:v>
      </x:c>
      <x:c r="E17" s="27" t="str">
        <x:v>Momento de entrada do contato.</x:v>
      </x:c>
      <x:c r="F17" s="27" t="str">
        <x:v>Data em maio de 2026.</x:v>
      </x:c>
    </x:row>
    <x:row r="18">
      <x:c r="A18" s="18" t="str">
        <x:v>contatos</x:v>
      </x:c>
      <x:c r="B18" s="18" t="str">
        <x:v>canal</x:v>
      </x:c>
      <x:c r="C18" s="18" t="str">
        <x:v>categoria</x:v>
      </x:c>
      <x:c r="D18" s="18" t="str">
        <x:v>Sim</x:v>
      </x:c>
      <x:c r="E18" s="27" t="str">
        <x:v>Canal sintético de entrada.</x:v>
      </x:c>
      <x:c r="F18" s="27" t="str">
        <x:v>Formulário, Mensageria, Telefone ou Indicação.</x:v>
      </x:c>
    </x:row>
    <x:row r="19">
      <x:c r="A19" s="18" t="str">
        <x:v>contatos</x:v>
      </x:c>
      <x:c r="B19" s="18" t="str">
        <x:v>cliente_ref</x:v>
      </x:c>
      <x:c r="C19" s="18" t="str">
        <x:v>texto</x:v>
      </x:c>
      <x:c r="D19" s="18" t="str">
        <x:v>Não</x:v>
      </x:c>
      <x:c r="E19" s="27" t="str">
        <x:v>Referência sintética do estabelecimento.</x:v>
      </x:c>
      <x:c r="F19" s="27" t="str">
        <x:v>Vazio conta como cadastro incompleto.</x:v>
      </x:c>
    </x:row>
    <x:row r="20">
      <x:c r="A20" s="18" t="str">
        <x:v>contatos</x:v>
      </x:c>
      <x:c r="B20" s="18" t="str">
        <x:v>tipo_servico</x:v>
      </x:c>
      <x:c r="C20" s="18" t="str">
        <x:v>categoria</x:v>
      </x:c>
      <x:c r="D20" s="18" t="str">
        <x:v>Não</x:v>
      </x:c>
      <x:c r="E20" s="27" t="str">
        <x:v>Família do serviço solicitado.</x:v>
      </x:c>
      <x:c r="F20" s="27" t="str">
        <x:v>Vazio conta como cadastro incompleto.</x:v>
      </x:c>
    </x:row>
    <x:row r="21">
      <x:c r="A21" s="18" t="str">
        <x:v>contatos</x:v>
      </x:c>
      <x:c r="B21" s="18" t="str">
        <x:v>regiao</x:v>
      </x:c>
      <x:c r="C21" s="18" t="str">
        <x:v>categoria</x:v>
      </x:c>
      <x:c r="D21" s="18" t="str">
        <x:v>Não</x:v>
      </x:c>
      <x:c r="E21" s="27" t="str">
        <x:v>Região ampla, sem endereço.</x:v>
      </x:c>
      <x:c r="F21" s="27" t="str">
        <x:v>Vazio conta como cadastro incompleto.</x:v>
      </x:c>
    </x:row>
    <x:row r="22">
      <x:c r="A22" s="18" t="str">
        <x:v>contatos</x:v>
      </x:c>
      <x:c r="B22" s="18" t="str">
        <x:v>urgencia_informada</x:v>
      </x:c>
      <x:c r="C22" s="18" t="str">
        <x:v>categoria</x:v>
      </x:c>
      <x:c r="D22" s="18" t="str">
        <x:v>Sim</x:v>
      </x:c>
      <x:c r="E22" s="27" t="str">
        <x:v>Urgência declarada, sem decisão técnica.</x:v>
      </x:c>
      <x:c r="F22" s="27" t="str">
        <x:v>Baixa, Média, Alta ou Não informada.</x:v>
      </x:c>
    </x:row>
    <x:row r="23">
      <x:c r="A23" s="18" t="str">
        <x:v>contatos</x:v>
      </x:c>
      <x:c r="B23" s="18" t="str">
        <x:v>primeira_resposta_em</x:v>
      </x:c>
      <x:c r="C23" s="18" t="str">
        <x:v>data/hora UTC</x:v>
      </x:c>
      <x:c r="D23" s="18" t="str">
        <x:v>Sim</x:v>
      </x:c>
      <x:c r="E23" s="27" t="str">
        <x:v>Momento da primeira resposta revisada.</x:v>
      </x:c>
      <x:c r="F23" s="27" t="str">
        <x:v>Posterior a recebido_em.</x:v>
      </x:c>
    </x:row>
    <x:row r="24">
      <x:c r="A24" s="18" t="str">
        <x:v>contatos</x:v>
      </x:c>
      <x:c r="B24" s="18" t="str">
        <x:v>tempo_primeira_resposta_min</x:v>
      </x:c>
      <x:c r="C24" s="18" t="str">
        <x:v>inteiro/fórmula</x:v>
      </x:c>
      <x:c r="D24" s="18" t="str">
        <x:v>Sim</x:v>
      </x:c>
      <x:c r="E24" s="27" t="str">
        <x:v>Minutos entre entrada e primeira resposta.</x:v>
      </x:c>
      <x:c r="F24" s="27" t="str">
        <x:v>ROUND((resposta - entrada) × 1440).</x:v>
      </x:c>
    </x:row>
    <x:row r="25">
      <x:c r="A25" s="18" t="str">
        <x:v>contatos</x:v>
      </x:c>
      <x:c r="B25" s="18" t="str">
        <x:v>acima_4h</x:v>
      </x:c>
      <x:c r="C25" s="18" t="str">
        <x:v>binário/fórmula</x:v>
      </x:c>
      <x:c r="D25" s="18" t="str">
        <x:v>Sim</x:v>
      </x:c>
      <x:c r="E25" s="27" t="str">
        <x:v>Sinal de espera acima de quatro horas.</x:v>
      </x:c>
      <x:c r="F25" s="27" t="str">
        <x:v>1 quando tempo &gt; 240; exatamente 240 não conta.</x:v>
      </x:c>
    </x:row>
    <x:row r="26">
      <x:c r="A26" s="18" t="str">
        <x:v>contatos</x:v>
      </x:c>
      <x:c r="B26" s="18" t="str">
        <x:v>cadastro_completo</x:v>
      </x:c>
      <x:c r="C26" s="18" t="str">
        <x:v>binário/fórmula</x:v>
      </x:c>
      <x:c r="D26" s="18" t="str">
        <x:v>Sim</x:v>
      </x:c>
      <x:c r="E26" s="27" t="str">
        <x:v>Presença do conjunto mínimo de contexto.</x:v>
      </x:c>
      <x:c r="F26" s="27" t="str">
        <x:v>1 quando cliente_ref, tipo_servico e regiao estão preenchidos.</x:v>
      </x:c>
    </x:row>
    <x:row r="27">
      <x:c r="A27" s="18" t="str">
        <x:v>contatos</x:v>
      </x:c>
      <x:c r="B27" s="18" t="str">
        <x:v>observacao_sintetica</x:v>
      </x:c>
      <x:c r="C27" s="18" t="str">
        <x:v>texto</x:v>
      </x:c>
      <x:c r="D27" s="18" t="str">
        <x:v>Sim</x:v>
      </x:c>
      <x:c r="E27" s="27" t="str">
        <x:v>Nota educacional sem informação pessoal.</x:v>
      </x:c>
      <x:c r="F27" s="27" t="str">
        <x:v>Não usar como dado quantitativo.</x:v>
      </x:c>
    </x:row>
    <x:row r="28">
      <x:c r="A28" s="18" t="str">
        <x:v>propostas</x:v>
      </x:c>
      <x:c r="B28" s="18" t="str">
        <x:v>proposta_id</x:v>
      </x:c>
      <x:c r="C28" s="18" t="str">
        <x:v>texto</x:v>
      </x:c>
      <x:c r="D28" s="18" t="str">
        <x:v>Sim</x:v>
      </x:c>
      <x:c r="E28" s="27" t="str">
        <x:v>Identificador sintético da proposta.</x:v>
      </x:c>
      <x:c r="F28" s="27" t="str">
        <x:v>Prefixo PR e três dígitos.</x:v>
      </x:c>
    </x:row>
    <x:row r="29">
      <x:c r="A29" s="18" t="str">
        <x:v>propostas</x:v>
      </x:c>
      <x:c r="B29" s="18" t="str">
        <x:v>contato_id</x:v>
      </x:c>
      <x:c r="C29" s="18" t="str">
        <x:v>texto</x:v>
      </x:c>
      <x:c r="D29" s="18" t="str">
        <x:v>Sim</x:v>
      </x:c>
      <x:c r="E29" s="27" t="str">
        <x:v>Contato sintético de origem.</x:v>
      </x:c>
      <x:c r="F29" s="27" t="str">
        <x:v>Referencia contato_id.</x:v>
      </x:c>
    </x:row>
    <x:row r="30">
      <x:c r="A30" s="18" t="str">
        <x:v>propostas</x:v>
      </x:c>
      <x:c r="B30" s="18" t="str">
        <x:v>criada_em</x:v>
      </x:c>
      <x:c r="C30" s="18" t="str">
        <x:v>data/hora UTC</x:v>
      </x:c>
      <x:c r="D30" s="18" t="str">
        <x:v>Sim</x:v>
      </x:c>
      <x:c r="E30" s="27" t="str">
        <x:v>Criação do rascunho comercial.</x:v>
      </x:c>
      <x:c r="F30" s="27" t="str">
        <x:v>Data em maio de 2026.</x:v>
      </x:c>
    </x:row>
    <x:row r="31">
      <x:c r="A31" s="18" t="str">
        <x:v>propostas</x:v>
      </x:c>
      <x:c r="B31" s="18" t="str">
        <x:v>servico</x:v>
      </x:c>
      <x:c r="C31" s="18" t="str">
        <x:v>categoria</x:v>
      </x:c>
      <x:c r="D31" s="18" t="str">
        <x:v>Sim</x:v>
      </x:c>
      <x:c r="E31" s="27" t="str">
        <x:v>Família de serviço do rascunho.</x:v>
      </x:c>
      <x:c r="F31" s="27" t="str">
        <x:v>Mesmo domínio de tipo_servico.</x:v>
      </x:c>
    </x:row>
    <x:row r="32">
      <x:c r="A32" s="18" t="str">
        <x:v>propostas</x:v>
      </x:c>
      <x:c r="B32" s="18" t="str">
        <x:v>tempo_preparo_min</x:v>
      </x:c>
      <x:c r="C32" s="18" t="str">
        <x:v>inteiro</x:v>
      </x:c>
      <x:c r="D32" s="18" t="str">
        <x:v>Não</x:v>
      </x:c>
      <x:c r="E32" s="27" t="str">
        <x:v>Tempo sintético de preparo até a revisão.</x:v>
      </x:c>
      <x:c r="F32" s="27" t="str">
        <x:v>Amostra intencional de 21 propostas; vazio fora da amostra.</x:v>
      </x:c>
    </x:row>
    <x:row r="33">
      <x:c r="A33" s="18" t="str">
        <x:v>propostas</x:v>
      </x:c>
      <x:c r="B33" s="18" t="str">
        <x:v>enviada_em</x:v>
      </x:c>
      <x:c r="C33" s="18" t="str">
        <x:v>data/hora UTC</x:v>
      </x:c>
      <x:c r="D33" s="18" t="str">
        <x:v>Sim</x:v>
      </x:c>
      <x:c r="E33" s="27" t="str">
        <x:v>Momento do envio após revisão.</x:v>
      </x:c>
      <x:c r="F33" s="27" t="str">
        <x:v>Sempre posterior à criação.</x:v>
      </x:c>
    </x:row>
    <x:row r="34">
      <x:c r="A34" s="18" t="str">
        <x:v>propostas</x:v>
      </x:c>
      <x:c r="B34" s="18" t="str">
        <x:v>dias_em_aberto_no_corte</x:v>
      </x:c>
      <x:c r="C34" s="18" t="str">
        <x:v>inteiro/fórmula</x:v>
      </x:c>
      <x:c r="D34" s="18" t="str">
        <x:v>Sim</x:v>
      </x:c>
      <x:c r="E34" s="27" t="str">
        <x:v>Idade inteira da proposta em 31/05/2026.</x:v>
      </x:c>
      <x:c r="F34" s="27" t="str">
        <x:v>MAX(0, INT(data de corte - criada_em)).</x:v>
      </x:c>
    </x:row>
    <x:row r="35">
      <x:c r="A35" s="18" t="str">
        <x:v>propostas</x:v>
      </x:c>
      <x:c r="B35" s="18" t="str">
        <x:v>ultimo_follow_up_em</x:v>
      </x:c>
      <x:c r="C35" s="18" t="str">
        <x:v>data/hora UTC</x:v>
      </x:c>
      <x:c r="D35" s="18" t="str">
        <x:v>Não</x:v>
      </x:c>
      <x:c r="E35" s="27" t="str">
        <x:v>Último acompanhamento registrado.</x:v>
      </x:c>
      <x:c r="F35" s="27" t="str">
        <x:v>Vazio pode compor o sinal de falta de acompanhamento.</x:v>
      </x:c>
    </x:row>
    <x:row r="36">
      <x:c r="A36" s="18" t="str">
        <x:v>propostas</x:v>
      </x:c>
      <x:c r="B36" s="18" t="str">
        <x:v>sem_follow_up_apos_5_dias</x:v>
      </x:c>
      <x:c r="C36" s="18" t="str">
        <x:v>binário/fórmula</x:v>
      </x:c>
      <x:c r="D36" s="18" t="str">
        <x:v>Sim</x:v>
      </x:c>
      <x:c r="E36" s="27" t="str">
        <x:v>Proposta antiga sem acompanhamento.</x:v>
      </x:c>
      <x:c r="F36" s="27" t="str">
        <x:v>1 quando dias &gt;= 5 e ultimo_follow_up_em está vazio.</x:v>
      </x:c>
    </x:row>
    <x:row r="37">
      <x:c r="A37" s="18" t="str">
        <x:v>propostas</x:v>
      </x:c>
      <x:c r="B37" s="18" t="str">
        <x:v>status</x:v>
      </x:c>
      <x:c r="C37" s="18" t="str">
        <x:v>categoria</x:v>
      </x:c>
      <x:c r="D37" s="18" t="str">
        <x:v>Sim</x:v>
      </x:c>
      <x:c r="E37" s="27" t="str">
        <x:v>Estado sintético no corte.</x:v>
      </x:c>
      <x:c r="F37" s="27" t="str">
        <x:v>Aberta, Acompanhada, Aceita ou Encerrada.</x:v>
      </x:c>
    </x:row>
    <x:row r="38">
      <x:c r="A38" s="18" t="str">
        <x:v>propostas</x:v>
      </x:c>
      <x:c r="B38" s="18" t="str">
        <x:v>revisada_por_humano</x:v>
      </x:c>
      <x:c r="C38" s="18" t="str">
        <x:v>booleano</x:v>
      </x:c>
      <x:c r="D38" s="18" t="str">
        <x:v>Sim</x:v>
      </x:c>
      <x:c r="E38" s="27" t="str">
        <x:v>Confirma revisão antes do envio.</x:v>
      </x:c>
      <x:c r="F38" s="27" t="str">
        <x:v>Deve permanecer verdadeiro no kit.</x:v>
      </x:c>
    </x:row>
    <x:row r="39">
      <x:c r="A39" s="19" t="str">
        <x:v>propostas</x:v>
      </x:c>
      <x:c r="B39" s="19" t="str">
        <x:v>observacao_sintetica</x:v>
      </x:c>
      <x:c r="C39" s="19" t="str">
        <x:v>texto</x:v>
      </x:c>
      <x:c r="D39" s="19" t="str">
        <x:v>Sim</x:v>
      </x:c>
      <x:c r="E39" s="28" t="str">
        <x:v>Nota educacional de controle.</x:v>
      </x:c>
      <x:c r="F39" s="28" t="str">
        <x:v>Não contém preço ou pessoa real.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2" customHeight="1">
      <x:c r="A1" s="73" t="str">
        <x:v>periodo</x:v>
      </x:c>
      <x:c r="B1" s="73" t="str">
        <x:v>volume_propostas</x:v>
      </x:c>
      <x:c r="C1" s="73" t="str">
        <x:v>mediana_primeira_resposta_min</x:v>
      </x:c>
      <x:c r="D1" s="73" t="str">
        <x:v>propostas_sem_followup_5d</x:v>
      </x:c>
      <x:c r="E1" s="73" t="str">
        <x:v>tempo_medio_preparo_min</x:v>
      </x:c>
      <x:c r="F1" s="73" t="str">
        <x:v>estimativa_preparo_h</x:v>
      </x:c>
    </x:row>
    <x:row r="2" ht="22" customHeight="1">
      <x:c r="A2" s="77" t="str">
        <x:v>2025-06</x:v>
      </x:c>
      <x:c r="B2" s="77" t="n">
        <x:v>124</x:v>
      </x:c>
      <x:c r="C2" s="77" t="n">
        <x:v>286</x:v>
      </x:c>
      <x:c r="D2" s="77" t="n">
        <x:v>39</x:v>
      </x:c>
      <x:c r="E2" s="77" t="n">
        <x:v>15</x:v>
      </x:c>
      <x:c r="F2" s="78" t="n">
        <x:v>31</x:v>
      </x:c>
    </x:row>
    <x:row r="3" ht="22" customHeight="1">
      <x:c r="A3" s="77" t="str">
        <x:v>2025-07</x:v>
      </x:c>
      <x:c r="B3" s="77" t="n">
        <x:v>122</x:v>
      </x:c>
      <x:c r="C3" s="77" t="n">
        <x:v>278</x:v>
      </x:c>
      <x:c r="D3" s="77" t="n">
        <x:v>37</x:v>
      </x:c>
      <x:c r="E3" s="77" t="n">
        <x:v>15</x:v>
      </x:c>
      <x:c r="F3" s="78" t="n">
        <x:v>30.5</x:v>
      </x:c>
    </x:row>
    <x:row r="4" ht="22" customHeight="1">
      <x:c r="A4" s="77" t="str">
        <x:v>2025-08</x:v>
      </x:c>
      <x:c r="B4" s="77" t="n">
        <x:v>120</x:v>
      </x:c>
      <x:c r="C4" s="77" t="n">
        <x:v>291</x:v>
      </x:c>
      <x:c r="D4" s="77" t="n">
        <x:v>41</x:v>
      </x:c>
      <x:c r="E4" s="77" t="n">
        <x:v>16</x:v>
      </x:c>
      <x:c r="F4" s="78" t="n">
        <x:v>32</x:v>
      </x:c>
    </x:row>
    <x:row r="5" ht="22" customHeight="1">
      <x:c r="A5" s="77" t="str">
        <x:v>2025-09</x:v>
      </x:c>
      <x:c r="B5" s="77" t="n">
        <x:v>123</x:v>
      </x:c>
      <x:c r="C5" s="77" t="n">
        <x:v>275</x:v>
      </x:c>
      <x:c r="D5" s="77" t="n">
        <x:v>36</x:v>
      </x:c>
      <x:c r="E5" s="77" t="n">
        <x:v>15</x:v>
      </x:c>
      <x:c r="F5" s="78" t="n">
        <x:v>30.8</x:v>
      </x:c>
    </x:row>
    <x:row r="6" ht="22" customHeight="1">
      <x:c r="A6" s="77" t="str">
        <x:v>2025-10</x:v>
      </x:c>
      <x:c r="B6" s="77" t="n">
        <x:v>126</x:v>
      </x:c>
      <x:c r="C6" s="77" t="n">
        <x:v>267</x:v>
      </x:c>
      <x:c r="D6" s="77" t="n">
        <x:v>35</x:v>
      </x:c>
      <x:c r="E6" s="77" t="n">
        <x:v>14</x:v>
      </x:c>
      <x:c r="F6" s="78" t="n">
        <x:v>29.4</x:v>
      </x:c>
    </x:row>
    <x:row r="7" ht="22" customHeight="1">
      <x:c r="A7" s="77" t="str">
        <x:v>2025-11</x:v>
      </x:c>
      <x:c r="B7" s="77" t="n">
        <x:v>125</x:v>
      </x:c>
      <x:c r="C7" s="77" t="n">
        <x:v>272</x:v>
      </x:c>
      <x:c r="D7" s="77" t="n">
        <x:v>34</x:v>
      </x:c>
      <x:c r="E7" s="77" t="n">
        <x:v>14</x:v>
      </x:c>
      <x:c r="F7" s="78" t="n">
        <x:v>29.2</x:v>
      </x:c>
    </x:row>
    <x:row r="8" ht="22" customHeight="1">
      <x:c r="A8" s="77" t="str">
        <x:v>2025-12</x:v>
      </x:c>
      <x:c r="B8" s="77" t="n">
        <x:v>125</x:v>
      </x:c>
      <x:c r="C8" s="77" t="n">
        <x:v>258</x:v>
      </x:c>
      <x:c r="D8" s="77" t="n">
        <x:v>33</x:v>
      </x:c>
      <x:c r="E8" s="77" t="n">
        <x:v>14</x:v>
      </x:c>
      <x:c r="F8" s="78" t="n">
        <x:v>29.2</x:v>
      </x:c>
    </x:row>
    <x:row r="9" ht="22" customHeight="1">
      <x:c r="A9" s="77" t="str">
        <x:v>2026-01</x:v>
      </x:c>
      <x:c r="B9" s="77" t="n">
        <x:v>128</x:v>
      </x:c>
      <x:c r="C9" s="77" t="n">
        <x:v>263</x:v>
      </x:c>
      <x:c r="D9" s="77" t="n">
        <x:v>35</x:v>
      </x:c>
      <x:c r="E9" s="77" t="n">
        <x:v>13</x:v>
      </x:c>
      <x:c r="F9" s="78" t="n">
        <x:v>27.7</x:v>
      </x:c>
    </x:row>
    <x:row r="10" ht="22" customHeight="1">
      <x:c r="A10" s="77" t="str">
        <x:v>2026-02</x:v>
      </x:c>
      <x:c r="B10" s="77" t="n">
        <x:v>125</x:v>
      </x:c>
      <x:c r="C10" s="77" t="n">
        <x:v>249</x:v>
      </x:c>
      <x:c r="D10" s="77" t="n">
        <x:v>31</x:v>
      </x:c>
      <x:c r="E10" s="77" t="n">
        <x:v>13</x:v>
      </x:c>
      <x:c r="F10" s="78" t="n">
        <x:v>27.1</x:v>
      </x:c>
    </x:row>
    <x:row r="11" ht="22" customHeight="1">
      <x:c r="A11" s="77" t="str">
        <x:v>2026-03</x:v>
      </x:c>
      <x:c r="B11" s="77" t="n">
        <x:v>123</x:v>
      </x:c>
      <x:c r="C11" s="77" t="n">
        <x:v>242</x:v>
      </x:c>
      <x:c r="D11" s="77" t="n">
        <x:v>30</x:v>
      </x:c>
      <x:c r="E11" s="77" t="n">
        <x:v>13</x:v>
      </x:c>
      <x:c r="F11" s="78" t="n">
        <x:v>26.6</x:v>
      </x:c>
    </x:row>
    <x:row r="12" ht="22" customHeight="1">
      <x:c r="A12" s="77" t="str">
        <x:v>2026-04</x:v>
      </x:c>
      <x:c r="B12" s="77" t="n">
        <x:v>129</x:v>
      </x:c>
      <x:c r="C12" s="77" t="n">
        <x:v>235</x:v>
      </x:c>
      <x:c r="D12" s="77" t="n">
        <x:v>29</x:v>
      </x:c>
      <x:c r="E12" s="77" t="n">
        <x:v>12</x:v>
      </x:c>
      <x:c r="F12" s="78" t="n">
        <x:v>25.8</x:v>
      </x:c>
    </x:row>
    <x:row r="13" ht="22" customHeight="1">
      <x:c r="A13" s="77" t="str">
        <x:v>2026-05</x:v>
      </x:c>
      <x:c r="B13" s="77" t="n">
        <x:v>126</x:v>
      </x:c>
      <x:c r="C13" s="77" t="n">
        <x:v>228</x:v>
      </x:c>
      <x:c r="D13" s="77" t="n">
        <x:v>28</x:v>
      </x:c>
      <x:c r="E13" s="77" t="n">
        <x:v>12</x:v>
      </x:c>
      <x:c r="F13" s="78" t="n">
        <x:v>25.2</x:v>
      </x:c>
    </x:row>
  </x:sheetData>
  <x:pageMargins left="0.7" right="0.7" top="0.75" bottom="0.75" header="0.3" footer="0.3"/>
  <x:tableParts count="1">
    <x:tablePart xmlns:r="http://schemas.openxmlformats.org/officeDocument/2006/relationships" r:id="R9a552d13b89a4224"/>
  </x:tableParts>
</x:worksheet>
</file>